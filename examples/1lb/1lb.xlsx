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02Production\01Projects\Knight\LBC\project\build_system\_data\1lb\"/>
    </mc:Choice>
  </mc:AlternateContent>
  <xr:revisionPtr revIDLastSave="0" documentId="13_ncr:1_{A1355F04-FF85-4AE6-996D-A1E85FA52326}" xr6:coauthVersionLast="47" xr6:coauthVersionMax="47" xr10:uidLastSave="{00000000-0000-0000-0000-000000000000}"/>
  <bookViews>
    <workbookView xWindow="-120" yWindow="-120" windowWidth="51840" windowHeight="21120" tabRatio="770" firstSheet="1" activeTab="4" xr2:uid="{00000000-000D-0000-FFFF-FFFF00000000}"/>
  </bookViews>
  <sheets>
    <sheet name="SiteInfo" sheetId="1" r:id="rId1"/>
    <sheet name="Floor meters" sheetId="2" r:id="rId2"/>
    <sheet name="ModbusDevices" sheetId="3" r:id="rId3"/>
    <sheet name="Meters" sheetId="4" r:id="rId4"/>
    <sheet name="CustomMeterPoints" sheetId="5" r:id="rId5"/>
    <sheet name="Spaces" sheetId="6" r:id="rId6"/>
    <sheet name="Reports" sheetId="7" r:id="rId7"/>
    <sheet name="UpdateModbusDevices" sheetId="8" r:id="rId8"/>
    <sheet name="UpdateMeters" sheetId="9" r:id="rId9"/>
    <sheet name="ModbusDevices_BCK" sheetId="10" r:id="rId10"/>
    <sheet name="Meters_BCK" sheetId="11" r:id="rId11"/>
    <sheet name="CustomMeterPoints_BCK" sheetId="12" r:id="rId12"/>
    <sheet name="Spaces_BCK" sheetId="13" r:id="rId13"/>
    <sheet name="ReportsBCK" sheetId="14" r:id="rId14"/>
  </sheets>
  <externalReferences>
    <externalReference r:id="rId15"/>
    <externalReference r:id="rId16"/>
    <externalReference r:id="rId17"/>
  </externalReferences>
  <definedNames>
    <definedName name="_xlnm._FilterDatabase" localSheetId="11" hidden="1">CustomMeterPoints_BCK!$A$1:$F$963</definedName>
    <definedName name="alarmStates">[1]values!$AX$4:$AX$15</definedName>
    <definedName name="autoBilling">[1]values!$CR$4:$CR$7</definedName>
    <definedName name="bacnetTypeBuiltin">[1]values!$BK$4:$BK$13</definedName>
    <definedName name="bacnetTypeNew">[1]values!$BM$4:$BM$30</definedName>
    <definedName name="binaryTrendlogs">[1]values!$CV$4:$CV$413</definedName>
    <definedName name="Boolean">[1]values!$M$4:$M$5</definedName>
    <definedName name="booleanOnOff">[1]values!$AH$4:$AH$5</definedName>
    <definedName name="continent">[1]values!$C$4:$C$11</definedName>
    <definedName name="groups">OFFSET([1]Groups!$I$7,0,0,COUNTA([1]Groups!$I:$I),1)</definedName>
    <definedName name="meters">[1]values!$CF$4:$CF$676</definedName>
    <definedName name="meterUtility">[1]values!$BG$4:$BG$8</definedName>
    <definedName name="modbusDevices">[1]values!$BI$4:$BI$38</definedName>
    <definedName name="modbusTypeBuiltin">[1]values!$BJ$4:$BJ$36</definedName>
    <definedName name="modbusTypeNew">[1]values!$BL$4:$BL$30</definedName>
    <definedName name="monthsSort">[1]values!$CS$4:$CS$15</definedName>
    <definedName name="ncAckreq">[1]values!$AU$4:$AU$8</definedName>
    <definedName name="ncList">[1]values!$AW$4:$AW$17</definedName>
    <definedName name="ncUsefor">[1]values!$AS$4:$AS$6</definedName>
    <definedName name="newMeterTypes">[1]Meters!#REF!</definedName>
    <definedName name="PortLocations">[2]Sheet4!$Z$2:INDEX([2]Sheet4!$Z:$Z, MATCH("zzz", IF(LEN([3]Sheet2!V:V), [2]Sheet4!$Z1048558:$Z79) ))</definedName>
    <definedName name="Region">[1]values!$L$4:$L$27</definedName>
    <definedName name="reportUtilities">[1]values!$CB$4:$CB$9</definedName>
    <definedName name="rounding">[1]values!$CX$4:$CX$10</definedName>
    <definedName name="scheduleObjects">[1]values!$AK$4:$AK$9</definedName>
    <definedName name="schedulePoints">[1]values!$AJ$4:$AJ$56</definedName>
    <definedName name="schedules">[1]values!$CW$4:$CW$32</definedName>
    <definedName name="scheduleTimes">[1]values!$AI$4:$AI$51</definedName>
    <definedName name="seDay">[1]values!$AN$4:$AN$28</definedName>
    <definedName name="seDaynames">[1]values!$AM$4:$AM$11</definedName>
    <definedName name="seMonth">[1]values!$AO$4:$AO$18</definedName>
    <definedName name="serviceFee">[1]values!$CN$4:$CN$8</definedName>
    <definedName name="seWeek">[1]values!$AQ$4:$AQ$10</definedName>
    <definedName name="seYear">[1]values!$AP$4:$AP$28</definedName>
    <definedName name="spaces">[1]values!$CT$4:$CT$179</definedName>
    <definedName name="specialEvents">'[1]Special Events'!$I$7:$I$52</definedName>
    <definedName name="tariffs">[1]values!$CQ$4:$CQ$35</definedName>
    <definedName name="tenants">[1]values!$CP$4:$CP$178</definedName>
    <definedName name="unusedSerialPorts">[1]values!$AD$4:$AD$7</definedName>
    <definedName name="users">[1]values!$W$4:$W$460</definedName>
    <definedName name="usersForNC">[1]values!$AT$4:$AT$460</definedName>
    <definedName name="weatherUnit">[1]values!$Q$4:$Q$5</definedName>
  </definedNames>
  <calcPr calcId="191029"/>
</workbook>
</file>

<file path=xl/calcChain.xml><?xml version="1.0" encoding="utf-8"?>
<calcChain xmlns="http://schemas.openxmlformats.org/spreadsheetml/2006/main">
  <c r="P34" i="11" l="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P3" i="11"/>
  <c r="P2" i="11"/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F2" i="5"/>
  <c r="F3" i="5" s="1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</calcChain>
</file>

<file path=xl/sharedStrings.xml><?xml version="1.0" encoding="utf-8"?>
<sst xmlns="http://schemas.openxmlformats.org/spreadsheetml/2006/main" count="4019" uniqueCount="681">
  <si>
    <t>Name</t>
  </si>
  <si>
    <t>Address Line 1</t>
  </si>
  <si>
    <t>Address Line 2</t>
  </si>
  <si>
    <t>City</t>
  </si>
  <si>
    <t>State</t>
  </si>
  <si>
    <t>Postcode</t>
  </si>
  <si>
    <t>Country</t>
  </si>
  <si>
    <t>Phone Number</t>
  </si>
  <si>
    <t>Email Address</t>
  </si>
  <si>
    <t>Site Information</t>
  </si>
  <si>
    <t>Verde</t>
  </si>
  <si>
    <t>10 Bressenden Place</t>
  </si>
  <si>
    <t>London</t>
  </si>
  <si>
    <t>SW1E 5DH</t>
  </si>
  <si>
    <t>England</t>
  </si>
  <si>
    <t>KnighContorls</t>
  </si>
  <si>
    <t>​01245 808 218</t>
  </si>
  <si>
    <t>service@knightcontrols.co.uk</t>
  </si>
  <si>
    <t>Floor</t>
  </si>
  <si>
    <t>Mech</t>
  </si>
  <si>
    <t>Lighting/Small Power</t>
  </si>
  <si>
    <t>West LTG/FCU</t>
  </si>
  <si>
    <t>West SP</t>
  </si>
  <si>
    <t>West Extra1</t>
  </si>
  <si>
    <t>West Extra2</t>
  </si>
  <si>
    <t>West Extra3</t>
  </si>
  <si>
    <t>West Extra4</t>
  </si>
  <si>
    <t>East LTG/FCU</t>
  </si>
  <si>
    <t>East SP</t>
  </si>
  <si>
    <t>East Extra 1</t>
  </si>
  <si>
    <t>East Extra 2</t>
  </si>
  <si>
    <t>East Extra 3</t>
  </si>
  <si>
    <t>Floor 1</t>
  </si>
  <si>
    <t>Floor 2</t>
  </si>
  <si>
    <t>Floor 3</t>
  </si>
  <si>
    <t>Floor 4</t>
  </si>
  <si>
    <t>Floor 5</t>
  </si>
  <si>
    <t>Floor 6</t>
  </si>
  <si>
    <t>Floor 7</t>
  </si>
  <si>
    <t>Floor 8</t>
  </si>
  <si>
    <t>Floor 9</t>
  </si>
  <si>
    <t>Not found on single line drawings</t>
  </si>
  <si>
    <t>Confirmed on single line drawings</t>
  </si>
  <si>
    <t>Not found on provided meter list</t>
  </si>
  <si>
    <t>connection</t>
  </si>
  <si>
    <t>address</t>
  </si>
  <si>
    <t>name</t>
  </si>
  <si>
    <t>description</t>
  </si>
  <si>
    <t>port</t>
  </si>
  <si>
    <t>timeout</t>
  </si>
  <si>
    <t>retries</t>
  </si>
  <si>
    <t>delay</t>
  </si>
  <si>
    <t>keepalive</t>
  </si>
  <si>
    <t>serialNumber</t>
  </si>
  <si>
    <t>location</t>
  </si>
  <si>
    <t>utility</t>
  </si>
  <si>
    <t>parent</t>
  </si>
  <si>
    <t>notes</t>
  </si>
  <si>
    <t>driver</t>
  </si>
  <si>
    <t>b_device</t>
  </si>
  <si>
    <t>m_ipdevice</t>
  </si>
  <si>
    <t>m_unit</t>
  </si>
  <si>
    <t>metertype</t>
  </si>
  <si>
    <t>usernames</t>
  </si>
  <si>
    <t>groupnames</t>
  </si>
  <si>
    <t>unit</t>
  </si>
  <si>
    <t>calculation_meters</t>
  </si>
  <si>
    <t>portion</t>
  </si>
  <si>
    <t>Building</t>
  </si>
  <si>
    <t>Calc meters list</t>
  </si>
  <si>
    <t>Electricity</t>
  </si>
  <si>
    <t>meter</t>
  </si>
  <si>
    <t>parameter</t>
  </si>
  <si>
    <t>period</t>
  </si>
  <si>
    <t>frequency</t>
  </si>
  <si>
    <t>instance</t>
  </si>
  <si>
    <t>Active Energy</t>
  </si>
  <si>
    <t>This</t>
  </si>
  <si>
    <t>month</t>
  </si>
  <si>
    <t>Previous To Today Equivalent</t>
  </si>
  <si>
    <t>type</t>
  </si>
  <si>
    <t>area</t>
  </si>
  <si>
    <t>tariff</t>
  </si>
  <si>
    <t>schedule</t>
  </si>
  <si>
    <t>meter1</t>
  </si>
  <si>
    <t>meter2</t>
  </si>
  <si>
    <t>meter3</t>
  </si>
  <si>
    <t>meter4</t>
  </si>
  <si>
    <t>meter5</t>
  </si>
  <si>
    <t>meter6</t>
  </si>
  <si>
    <t>meter7</t>
  </si>
  <si>
    <t>meter8</t>
  </si>
  <si>
    <t>meter9</t>
  </si>
  <si>
    <t>meter10</t>
  </si>
  <si>
    <t>meter11</t>
  </si>
  <si>
    <t>meter12</t>
  </si>
  <si>
    <t>meter13</t>
  </si>
  <si>
    <t>meter14</t>
  </si>
  <si>
    <t>meter15</t>
  </si>
  <si>
    <t>meter16</t>
  </si>
  <si>
    <t>chart</t>
  </si>
  <si>
    <t>report</t>
  </si>
  <si>
    <t>breakup</t>
  </si>
  <si>
    <t>comparison</t>
  </si>
  <si>
    <t>text-color</t>
  </si>
  <si>
    <t>meter1-color</t>
  </si>
  <si>
    <t>meter2-color</t>
  </si>
  <si>
    <t>meter3-color</t>
  </si>
  <si>
    <t>meter4-color</t>
  </si>
  <si>
    <t>meter5-color</t>
  </si>
  <si>
    <t>meter7-color</t>
  </si>
  <si>
    <t>meter8-color</t>
  </si>
  <si>
    <t>meter9-color</t>
  </si>
  <si>
    <t>meter10-color</t>
  </si>
  <si>
    <t>demand</t>
  </si>
  <si>
    <t>this-week</t>
  </si>
  <si>
    <t>Auto</t>
  </si>
  <si>
    <t>#2B2B2A</t>
  </si>
  <si>
    <t xml:space="preserve">#097234 </t>
  </si>
  <si>
    <t>#77C4BC</t>
  </si>
  <si>
    <t>#134C6E</t>
  </si>
  <si>
    <t>bar</t>
  </si>
  <si>
    <t>consumption</t>
  </si>
  <si>
    <t>current_name</t>
  </si>
  <si>
    <t>new_name</t>
  </si>
  <si>
    <t>new_description</t>
  </si>
  <si>
    <t>new_serialNumber</t>
  </si>
  <si>
    <t>new_location</t>
  </si>
  <si>
    <t>new_parent</t>
  </si>
  <si>
    <t>new_notes</t>
  </si>
  <si>
    <t>new_b_device</t>
  </si>
  <si>
    <t>new_m_ipdevice</t>
  </si>
  <si>
    <t>new_m_unit</t>
  </si>
  <si>
    <t>new_metertype</t>
  </si>
  <si>
    <t>new_usernames</t>
  </si>
  <si>
    <t>new_groupnames</t>
  </si>
  <si>
    <t>2ML-T/FL01-T4 RH-GPL/FCU</t>
  </si>
  <si>
    <t>Aggregate</t>
  </si>
  <si>
    <t>Administrators</t>
  </si>
  <si>
    <t>kcl</t>
  </si>
  <si>
    <t>1LB-FL2 West Core 2 L</t>
  </si>
  <si>
    <t>1LB-FL4 West Core 2 L</t>
  </si>
  <si>
    <t>1LB-FL5 West Core 2 L</t>
  </si>
  <si>
    <t>1LB-FL8 West Core 2 L</t>
  </si>
  <si>
    <t>1LB-FL9 West Core 2 L</t>
  </si>
  <si>
    <t>1LB-FL2 West Core 2 P</t>
  </si>
  <si>
    <t>1LB-FL4 West Core 2 P</t>
  </si>
  <si>
    <t>1LB-FL5 West Core 2 P</t>
  </si>
  <si>
    <t>1LB-FL6 West Core 2 P</t>
  </si>
  <si>
    <t>1LB-FL7 West Core 2 P</t>
  </si>
  <si>
    <t>1LB-FL8 West Core 2 P</t>
  </si>
  <si>
    <t>1LB-FL9 West Core 2 P</t>
  </si>
  <si>
    <t>1LB-FL10 West Core 2 P</t>
  </si>
  <si>
    <t>1LB-FL11 West Core 2 P</t>
  </si>
  <si>
    <t>1LB-FL11 West Core 2 DB</t>
  </si>
  <si>
    <t>1LB-FL12 West Core 2 P</t>
  </si>
  <si>
    <t>1LB-FL3 West Core 2 P</t>
  </si>
  <si>
    <t>1LB-FL3 West Core 2 L</t>
  </si>
  <si>
    <t>1LB-FL6 West Core 2 L</t>
  </si>
  <si>
    <t>1LB-FL7 West Core 2 L</t>
  </si>
  <si>
    <t>1LB-FL10 West Core 2 L</t>
  </si>
  <si>
    <t>1LB-FL12 West Core 2 L</t>
  </si>
  <si>
    <t>1LB-FL4 West Core 2 ATS</t>
  </si>
  <si>
    <t>1LB-FL1 West Core 1 P</t>
  </si>
  <si>
    <t>1LB-FL2 West Core 1 P</t>
  </si>
  <si>
    <t>1LB-FL3 West Core 1 P</t>
  </si>
  <si>
    <t>1LB-FL4 West Core 1 P</t>
  </si>
  <si>
    <t>1LB-FL5 West Core 1 P</t>
  </si>
  <si>
    <t>1LB-FL6 West Core 1 P</t>
  </si>
  <si>
    <t>1LB-FL8 West Core 1 P</t>
  </si>
  <si>
    <t>1LB-FL9 West Core 1 P</t>
  </si>
  <si>
    <t>1LB-FL10 West Core 1 P</t>
  </si>
  <si>
    <t>1LB-FL12 West Core 1 P</t>
  </si>
  <si>
    <t>1LB-FL2 West Core 1 L</t>
  </si>
  <si>
    <t>1LB-FL3 West Core 1 L</t>
  </si>
  <si>
    <t>1LB-FL4 West Core 1 L</t>
  </si>
  <si>
    <t>1LB-FL5 West Core 1 L</t>
  </si>
  <si>
    <t>1LB-FL6 West Core 1 L</t>
  </si>
  <si>
    <t>1LB-FL8 West Core 1 L</t>
  </si>
  <si>
    <t>1LB-FL9 West Core 1 L</t>
  </si>
  <si>
    <t>1LB-FL10 West Core 1 L</t>
  </si>
  <si>
    <t>1LB-FL11 West Core 1 Lighting Kitchen</t>
  </si>
  <si>
    <t>1LB-FL12 West Core 1 L</t>
  </si>
  <si>
    <t>1LB-FL7 West Core 1 P</t>
  </si>
  <si>
    <t>1LB-FL7 West Core 1 L</t>
  </si>
  <si>
    <t>1LB-FL6 West Core 1 Comms</t>
  </si>
  <si>
    <t>1LB-FL11 West Core 1 P</t>
  </si>
  <si>
    <t>1LB-Ground Floor East Core 1 P</t>
  </si>
  <si>
    <t>1LB-Ground Floor East Core 1 L</t>
  </si>
  <si>
    <t>1LB-FL1 East Core 1 L</t>
  </si>
  <si>
    <t>1LB - FL1 East Core 1 P</t>
  </si>
  <si>
    <t>1LB - FL1 East Core 2 P</t>
  </si>
  <si>
    <t>1LB - FL1 East Core 2 L</t>
  </si>
  <si>
    <t>1LB - FL2 East Core 1 P</t>
  </si>
  <si>
    <t>1LB - FL2 East Core 1 L</t>
  </si>
  <si>
    <t>1LB - FL2 East Core 2 P</t>
  </si>
  <si>
    <t>1LB - FL2 East Core 2 L</t>
  </si>
  <si>
    <t>1LB - FL3 East Core 1 P</t>
  </si>
  <si>
    <t>1LB - FL3 East Core 1 L</t>
  </si>
  <si>
    <t>1LB - FL3 East Core 2 P</t>
  </si>
  <si>
    <t>1LB - FL3 East Core 2 L</t>
  </si>
  <si>
    <t>1LB - FL3 East Core 2 Metering Panel 1</t>
  </si>
  <si>
    <t>1LB - FL4 East Core 1 P</t>
  </si>
  <si>
    <t>1LB - FL4 East Core 1 L</t>
  </si>
  <si>
    <t>1LB - FL4 East Core 2 P</t>
  </si>
  <si>
    <t>1LB - FL4 East Core 2 L</t>
  </si>
  <si>
    <t>1LB - FL5 East Core 1 P</t>
  </si>
  <si>
    <t>1LB - FL5 East Core 1 L</t>
  </si>
  <si>
    <t>1LB - FL5 East Core 2 P</t>
  </si>
  <si>
    <t>1LB - FL5 East Core 2 L</t>
  </si>
  <si>
    <t>1LB - FL6 East Core 1 P</t>
  </si>
  <si>
    <t>1LB - FL6 East Core 1 L</t>
  </si>
  <si>
    <t>1LB - FL6 East Core 2 P</t>
  </si>
  <si>
    <t>1LB - FL6 East Core 2 L</t>
  </si>
  <si>
    <t>1LB - FL7 East Core 1 P</t>
  </si>
  <si>
    <t>1LB - FL7 East Core 1 L</t>
  </si>
  <si>
    <t>1LB - FL7 East Core 2 P</t>
  </si>
  <si>
    <t>1LB - FL7 East Core 2 L</t>
  </si>
  <si>
    <t>1LB - FL8 East Core 1 P</t>
  </si>
  <si>
    <t>1LB - FL8 East Core 1 L</t>
  </si>
  <si>
    <t>1LB - FL8 East Core 2 P</t>
  </si>
  <si>
    <t>1LB - FL8 East Core 2 L</t>
  </si>
  <si>
    <t>1LB - FL9 East Core 1 P</t>
  </si>
  <si>
    <t>1LB - FL9 East Core 1 L</t>
  </si>
  <si>
    <t>1LB - FL9 East Core 2 P</t>
  </si>
  <si>
    <t>1LB - FL9 East Core 2 L</t>
  </si>
  <si>
    <t>1LB - FL11 West Core 2 L</t>
  </si>
  <si>
    <t>1LB - Floor 01 Total Electricity</t>
  </si>
  <si>
    <t>1LB - Floor 02 Total Electricity</t>
  </si>
  <si>
    <t>1LB - Floor 03 Total Electricity</t>
  </si>
  <si>
    <t>1LB - Floor 04 Total Electricity</t>
  </si>
  <si>
    <t>1LB - Floor 05 Total Electricity</t>
  </si>
  <si>
    <t>1LB - Floor 06 Total Electricity</t>
  </si>
  <si>
    <t>1LB - Floor 07 Total Electricity</t>
  </si>
  <si>
    <t>1LB - Floor 08 Total Electricity</t>
  </si>
  <si>
    <t>1LB - Floor 09 Total Electricity</t>
  </si>
  <si>
    <t>1LB - Floor 10 Total Electricity</t>
  </si>
  <si>
    <t>1LB - Floor 11 Total Electricity</t>
  </si>
  <si>
    <t>1LB - Floor 12 Total Electricity</t>
  </si>
  <si>
    <t>1LB - Floor 01 East Electricity</t>
  </si>
  <si>
    <t>1LB - Floor 02 East Electricity</t>
  </si>
  <si>
    <t>1LB - Floor 03 East Electricity</t>
  </si>
  <si>
    <t>1LB - Floor 04 East Electricity</t>
  </si>
  <si>
    <t>1LB - Floor 05 East Electricity</t>
  </si>
  <si>
    <t>1LB - Floor 06 East Electricity</t>
  </si>
  <si>
    <t>1LB - Floor 07 East Electricity</t>
  </si>
  <si>
    <t>1LB - Floor 08 East Electricity</t>
  </si>
  <si>
    <t>1LB - Floor 09 East Electricity</t>
  </si>
  <si>
    <t>1LB - Floor 02 West Electricity</t>
  </si>
  <si>
    <t>1LB - Floor 03 West Electricity</t>
  </si>
  <si>
    <t>1LB - Floor 04 West Electricity</t>
  </si>
  <si>
    <t>1LB - Floor 05 West Electricity</t>
  </si>
  <si>
    <t>1LB - Floor 06 West Electricity</t>
  </si>
  <si>
    <t>1LB - Floor 07 West Electricity</t>
  </si>
  <si>
    <t>1LB - Floor 08 West Electricity</t>
  </si>
  <si>
    <t>1LB - Floor 09 West Electricity</t>
  </si>
  <si>
    <t>1LB - Floor 10 West Electricity</t>
  </si>
  <si>
    <t>1LB - Floor 11 West Electricity</t>
  </si>
  <si>
    <t>1LB - Floor 12 West Electricity</t>
  </si>
  <si>
    <t>#2AA7F2</t>
  </si>
  <si>
    <t>#D7F7E1</t>
  </si>
  <si>
    <t>#96FFAC</t>
  </si>
  <si>
    <t>#E6AF00</t>
  </si>
  <si>
    <t>#9D7EA4</t>
  </si>
  <si>
    <t>#988E3F</t>
  </si>
  <si>
    <t>#446307</t>
  </si>
  <si>
    <t>1LB - Floor Ground - Electricity - Demand</t>
  </si>
  <si>
    <t>1LB - Floor Ground - Electricity - Consumption</t>
  </si>
  <si>
    <t>1LB - Floor01 - Electricity - Demand</t>
  </si>
  <si>
    <t>1LB - Floor01 - Electricity - Consumption</t>
  </si>
  <si>
    <t>1LB - Floor02 - Electricity - Demand</t>
  </si>
  <si>
    <t>1LB - Floor02 - Electricity - Consumption</t>
  </si>
  <si>
    <t>1LB - Floor03 - Electricity - Demand</t>
  </si>
  <si>
    <t>1LB - Floor03 - Electricity - Consumption</t>
  </si>
  <si>
    <t>1LB - Floor04 - Electricity - Demand</t>
  </si>
  <si>
    <t>1LB - Floor04 - Electricity - Consumption</t>
  </si>
  <si>
    <t>1LB - Floor05 - Electricity - Demand</t>
  </si>
  <si>
    <t>1LB - Floor05 - Electricity - Consumption</t>
  </si>
  <si>
    <t>1LB - Floor06 - Electricity - Demand</t>
  </si>
  <si>
    <t>1LB - Floor06 - Electricity - Consumption</t>
  </si>
  <si>
    <t>1LB - Floor07 - Electricity - Demand</t>
  </si>
  <si>
    <t>1LB - Floor07 - Electricity - Consumption</t>
  </si>
  <si>
    <t>1LB - Floor08 - Electricity - Demand</t>
  </si>
  <si>
    <t>1LB - Floor08 - Electricity - Consumption</t>
  </si>
  <si>
    <t>1LB - Floor09 - Electricity - Demand</t>
  </si>
  <si>
    <t>1LB - Floor09 - Electricity - Consumption</t>
  </si>
  <si>
    <t>1LB - Floor01 - East - Electricity - Demand</t>
  </si>
  <si>
    <t>1LB - Floor01 - East - Electricity - Consumption</t>
  </si>
  <si>
    <t>1LB - Floor02 - East - Electricity - Demand</t>
  </si>
  <si>
    <t>1LB - Floor02 - East - Electricity - Consumption</t>
  </si>
  <si>
    <t>1LB - Floor03 - East - Electricity - Demand</t>
  </si>
  <si>
    <t>1LB - Floor03 - East - Electricity - Consumption</t>
  </si>
  <si>
    <t>1LB - Floor04 - East - Electricity - Demand</t>
  </si>
  <si>
    <t>1LB - Floor04 - East - Electricity - Consumption</t>
  </si>
  <si>
    <t>1LB - Floor05 - East - Electricity - Demand</t>
  </si>
  <si>
    <t>1LB - Floor05 - East - Electricity - Consumption</t>
  </si>
  <si>
    <t>1LB - Floor06 - East - Electricity - Demand</t>
  </si>
  <si>
    <t>1LB - Floor06 - East - Electricity - Consumption</t>
  </si>
  <si>
    <t>1LB - Floor07 - East - Electricity - Demand</t>
  </si>
  <si>
    <t>1LB - Floor07 - East - Electricity - Consumption</t>
  </si>
  <si>
    <t>1LB - Floor08 - East - Electricity - Demand</t>
  </si>
  <si>
    <t>1LB - Floor08 - East - Electricity - Consumption</t>
  </si>
  <si>
    <t>1LB - Floor09 - East - Electricity - Demand</t>
  </si>
  <si>
    <t>1LB - Floor09 - East - Electricity - Consumption</t>
  </si>
  <si>
    <t>1LB - Floor02 - West - Electricity - Demand</t>
  </si>
  <si>
    <t>1LB - Floor02 - West - Electricity - Consumption</t>
  </si>
  <si>
    <t>1LB - Floor03 - West - Electricity - Demand</t>
  </si>
  <si>
    <t>1LB - Floor03 - West - Electricity - Consumption</t>
  </si>
  <si>
    <t>1LB - Floor04 - West - Electricity - Demand</t>
  </si>
  <si>
    <t>1LB - Floor04 - West - Electricity - Consumption</t>
  </si>
  <si>
    <t>1LB - Floor05 - West - Electricity - Demand</t>
  </si>
  <si>
    <t>1LB - Floor05 - West - Electricity - Consumption</t>
  </si>
  <si>
    <t>1LB - Floor06 - West - Electricity - Demand</t>
  </si>
  <si>
    <t>1LB - Floor06 - West - Electricity - Consumption</t>
  </si>
  <si>
    <t>1LB - Floor07 - West - Electricity - Demand</t>
  </si>
  <si>
    <t>1LB - Floor07 - West - Electricity - Consumption</t>
  </si>
  <si>
    <t>1LB - Floor08 - West - Electricity - Demand</t>
  </si>
  <si>
    <t>1LB - Floor08 - West - Electricity - Consumption</t>
  </si>
  <si>
    <t>1LB - Floor09 - West - Electricity - Demand</t>
  </si>
  <si>
    <t>1LB - Floor09 - West - Electricity - Consumption</t>
  </si>
  <si>
    <t>1LB - Floor10 - Electricity - Demand</t>
  </si>
  <si>
    <t>1LB - Floor11 - Electricity - Consumption</t>
  </si>
  <si>
    <t>1LB - Floor11 - Electricity - Demand</t>
  </si>
  <si>
    <t>1LB - Floor10 - Electricity - Consumption</t>
  </si>
  <si>
    <t>1LB - Floor12 - Electricity - Demand</t>
  </si>
  <si>
    <t>1LB - Floor12 - Electricity - Consumption</t>
  </si>
  <si>
    <t>1LB - Floor10 - West - Electricity - Demand</t>
  </si>
  <si>
    <t>1LB - Floor10 - West - Electricity - Consumption</t>
  </si>
  <si>
    <t>1LB - Floor11 - West - Electricity - Demand</t>
  </si>
  <si>
    <t>1LB - Floor11 - West - Electricity - Consumption</t>
  </si>
  <si>
    <t>1LB - Floor12 - West - Electricity - Demand</t>
  </si>
  <si>
    <t>1LB - Floor12 - West - Electricity - Consumption</t>
  </si>
  <si>
    <t>1LB - TX-L-01</t>
  </si>
  <si>
    <t>1LB - TX-L02</t>
  </si>
  <si>
    <t>1LB - FL2 West Core 2 L</t>
  </si>
  <si>
    <t>1LB - FL4 West Core 2 L</t>
  </si>
  <si>
    <t>1LB - FL5 West Core 2 L</t>
  </si>
  <si>
    <t>1LB - FL8 West Core 2 L</t>
  </si>
  <si>
    <t>1LB - FL9 West Core 2 L</t>
  </si>
  <si>
    <t>1LB - FL2 West Core 2 P</t>
  </si>
  <si>
    <t>1LB - FL4 West Core 2 P</t>
  </si>
  <si>
    <t>1LB - FL5 West Core 2 P</t>
  </si>
  <si>
    <t>1LB - FL6 West Core 2 P</t>
  </si>
  <si>
    <t>1LB - FL7 West Core 2 P</t>
  </si>
  <si>
    <t>1LB - FL8 West Core 2 P</t>
  </si>
  <si>
    <t>1LB - FL9 West Core 2 P</t>
  </si>
  <si>
    <t>1LB - FL10 West Core 2 P</t>
  </si>
  <si>
    <t>1LB - FL11 West Core 2 P</t>
  </si>
  <si>
    <t>1LB - FL11 West Core 2 DB</t>
  </si>
  <si>
    <t>1LB - FL12 West Core 2 P</t>
  </si>
  <si>
    <t>1LB - FL3 West Core 2 P</t>
  </si>
  <si>
    <t>1LB - FL3 West Core 2 L</t>
  </si>
  <si>
    <t>1LB - FL6 West Core 2 L</t>
  </si>
  <si>
    <t>1LB - FL7 West Core 2 L</t>
  </si>
  <si>
    <t>1LB - FL10 West Core 2 L</t>
  </si>
  <si>
    <t>1LB - FL12 West Core 2 L</t>
  </si>
  <si>
    <t>1LB - FL4 West Core 2 ATS</t>
  </si>
  <si>
    <t>1LB - FL1 West Core 1 P</t>
  </si>
  <si>
    <t>1LB - FL2 West Core 1 P</t>
  </si>
  <si>
    <t>1LB - FL3 West Core 1 P</t>
  </si>
  <si>
    <t>1LB - FL4 West Core 1 P</t>
  </si>
  <si>
    <t>1LB - FL5 West Core 1 P</t>
  </si>
  <si>
    <t>1LB - FL6 West Core 1 P</t>
  </si>
  <si>
    <t>1LB - FL8 West Core 1 P</t>
  </si>
  <si>
    <t>1LB - FL9 West Core 1 P</t>
  </si>
  <si>
    <t>1LB - FL10 West Core 1 P</t>
  </si>
  <si>
    <t>1LB - FL12 West Core 1 P</t>
  </si>
  <si>
    <t>1LB - FL2 West Core 1 L</t>
  </si>
  <si>
    <t>1LB - FL3 West Core 1 L</t>
  </si>
  <si>
    <t>1LB - FL4 West Core 1 L</t>
  </si>
  <si>
    <t>1LB - FL5 West Core 1 L</t>
  </si>
  <si>
    <t>1LB - FL6 West Core 1 L</t>
  </si>
  <si>
    <t>1LB - FL8 West Core 1 L</t>
  </si>
  <si>
    <t>1LB - FL9 West Core 1 L</t>
  </si>
  <si>
    <t>1LB - FL10 West Core 1 L</t>
  </si>
  <si>
    <t>1LB - FL11 West Core 1 Lighting Kitchen</t>
  </si>
  <si>
    <t>1LB - FL12 West Core 1 L</t>
  </si>
  <si>
    <t>1LB - FL7 West Core 1 P</t>
  </si>
  <si>
    <t>1LB - FL7 West Core 1 L</t>
  </si>
  <si>
    <t>1LB - FL6 West Core 1 Comms</t>
  </si>
  <si>
    <t>1LB - FL11 West Core 1 P</t>
  </si>
  <si>
    <t>1LB - FL1 East Core 1 L</t>
  </si>
  <si>
    <t>1LB - Ground Floor East Core 1 P</t>
  </si>
  <si>
    <t>1LB - Ground Floor East Core 1 L</t>
  </si>
  <si>
    <t>1LB -Main Incomer Electricity</t>
  </si>
  <si>
    <t>1LB-SB-M01-01</t>
  </si>
  <si>
    <t>1LB - Fire Fighting Lift</t>
  </si>
  <si>
    <t>1LB - Tenants Essential Busbar West Riser</t>
  </si>
  <si>
    <t>1LB - MCC-M-12-1</t>
  </si>
  <si>
    <t>1LB - ATS 10</t>
  </si>
  <si>
    <t>1LB - SB-M02-01</t>
  </si>
  <si>
    <t>1LB - Landlords Rising Main West</t>
  </si>
  <si>
    <t>1LB - Lifts 36 37</t>
  </si>
  <si>
    <t>1LB - DP-M-G1</t>
  </si>
  <si>
    <t>1LB - Lift A and B</t>
  </si>
  <si>
    <t>1LB - DP-MB-02E</t>
  </si>
  <si>
    <t>1LB - MCC 2 Heating System</t>
  </si>
  <si>
    <t>1LB - East Tenants Non Essential Busbar</t>
  </si>
  <si>
    <t>1LB - CH-M-01</t>
  </si>
  <si>
    <t>1LB - Fire Fighting Lift 40</t>
  </si>
  <si>
    <t>1LB - DP-M-B1</t>
  </si>
  <si>
    <t>1LB - Landlords Rising Main East</t>
  </si>
  <si>
    <t>1LB - AHU M2 Extract</t>
  </si>
  <si>
    <t>1LB - SB-M-03</t>
  </si>
  <si>
    <t>1LB - Fire Alarm Panels</t>
  </si>
  <si>
    <t>1LB - MCC 2 ESS</t>
  </si>
  <si>
    <t>1LB - Tripping Coil and Battery Charger HV</t>
  </si>
  <si>
    <t>1LB - Tripping Coil and Battery Charger LV</t>
  </si>
  <si>
    <t>1LB - AHU M1 Extract</t>
  </si>
  <si>
    <t>1LB - Sprinkler Pump Set</t>
  </si>
  <si>
    <t>1LB - Chiller Pumps MCC3</t>
  </si>
  <si>
    <t>1LB - CH-M-02</t>
  </si>
  <si>
    <t>1LB - MCC-L-R1</t>
  </si>
  <si>
    <t>1LB - MCC 1 ESS</t>
  </si>
  <si>
    <t>1LB - Landlords Rising Main West 2</t>
  </si>
  <si>
    <t>1LB - Block L Tripping Coil / Battery Charger LV</t>
  </si>
  <si>
    <t>1LB - SB-L02-04</t>
  </si>
  <si>
    <t>1LB - MCC1</t>
  </si>
  <si>
    <t>1LB - Tenants Non Essential Rising Busbar East</t>
  </si>
  <si>
    <t>1LB - DB-L-B01</t>
  </si>
  <si>
    <t>1LB - Landlords Rising Main East 2</t>
  </si>
  <si>
    <t>1LB - DP-LGP1</t>
  </si>
  <si>
    <t>1LB - SB-L02-10</t>
  </si>
  <si>
    <t>1LB - Lift E and F</t>
  </si>
  <si>
    <t>1LB - MCC LR2E</t>
  </si>
  <si>
    <t>1LB - Fire Fighting Lift 34</t>
  </si>
  <si>
    <t>1LB - Lift G</t>
  </si>
  <si>
    <t>1LB - DP-LG-P2</t>
  </si>
  <si>
    <t>1LB - MCC-L-3EATS</t>
  </si>
  <si>
    <t>1LB - ES-L-C1 Escalators</t>
  </si>
  <si>
    <t>1LB - ES-L-C2 Escalators</t>
  </si>
  <si>
    <t>1LB - MCC-L-B2</t>
  </si>
  <si>
    <t>1LB - DB-LBC1</t>
  </si>
  <si>
    <t>1LB - DB-LBC2</t>
  </si>
  <si>
    <t>1LB - DB-LBC3</t>
  </si>
  <si>
    <t>1LB - DB-LBC4</t>
  </si>
  <si>
    <t>1LB - DB-LBC5</t>
  </si>
  <si>
    <t>1LB-DB-LGC1</t>
  </si>
  <si>
    <t>1LB-DB-LG3</t>
  </si>
  <si>
    <t>MCC-L-B2</t>
  </si>
  <si>
    <t>Tenants Essential Rising Busbar East</t>
  </si>
  <si>
    <t>Tenants Non Essential Busbar West Riser</t>
  </si>
  <si>
    <t>Modbus</t>
  </si>
  <si>
    <t>1LB - FL2 West Core 2 L-This-month</t>
  </si>
  <si>
    <t>1LB - FL4 West Core 2 L-This-month</t>
  </si>
  <si>
    <t>1LB - FL5 West Core 2 L-This-month</t>
  </si>
  <si>
    <t>1LB - FL8 West Core 2 L-This-month</t>
  </si>
  <si>
    <t>1LB - FL9 West Core 2 L-This-month</t>
  </si>
  <si>
    <t>1LB - FL2 West Core 2 P-This-month</t>
  </si>
  <si>
    <t>1LB - FL4 West Core 2 P-This-month</t>
  </si>
  <si>
    <t>1LB - FL5 West Core 2 P-This-month</t>
  </si>
  <si>
    <t>1LB - FL6 West Core 2 P-This-month</t>
  </si>
  <si>
    <t>1LB - FL7 West Core 2 P-This-month</t>
  </si>
  <si>
    <t>1LB - FL8 West Core 2 P-This-month</t>
  </si>
  <si>
    <t>1LB - FL9 West Core 2 P-This-month</t>
  </si>
  <si>
    <t>1LB - FL10 West Core 2 P-This-month</t>
  </si>
  <si>
    <t>1LB - FL11 West Core 2 P-This-month</t>
  </si>
  <si>
    <t>1LB - FL11 West Core 2 DB-This-month</t>
  </si>
  <si>
    <t>1LB - FL12 West Core 2 P-This-month</t>
  </si>
  <si>
    <t>1LB - FL3 West Core 2 P-This-month</t>
  </si>
  <si>
    <t>1LB - FL3 West Core 2 L-This-month</t>
  </si>
  <si>
    <t>1LB - FL6 West Core 2 L-This-month</t>
  </si>
  <si>
    <t>1LB - FL7 West Core 2 L-This-month</t>
  </si>
  <si>
    <t>1LB - FL10 West Core 2 L-This-month</t>
  </si>
  <si>
    <t>1LB - FL12 West Core 2 L-This-month</t>
  </si>
  <si>
    <t>1LB - FL4 West Core 2 ATS-This-month</t>
  </si>
  <si>
    <t>1LB - FL1 West Core 1 P-This-month</t>
  </si>
  <si>
    <t>1LB - FL2 West Core 1 P-This-month</t>
  </si>
  <si>
    <t>1LB - FL3 West Core 1 P-This-month</t>
  </si>
  <si>
    <t>1LB - FL4 West Core 1 P-This-month</t>
  </si>
  <si>
    <t>1LB - FL5 West Core 1 P-This-month</t>
  </si>
  <si>
    <t>1LB - FL6 West Core 1 P-This-month</t>
  </si>
  <si>
    <t>1LB - FL8 West Core 1 P-This-month</t>
  </si>
  <si>
    <t>1LB - FL9 West Core 1 P-This-month</t>
  </si>
  <si>
    <t>1LB - FL10 West Core 1 P-This-month</t>
  </si>
  <si>
    <t>1LB - FL12 West Core 1 P-This-month</t>
  </si>
  <si>
    <t>1LB - FL2 West Core 1 L-This-month</t>
  </si>
  <si>
    <t>1LB - FL3 West Core 1 L-This-month</t>
  </si>
  <si>
    <t>1LB - FL4 West Core 1 L-This-month</t>
  </si>
  <si>
    <t>1LB - FL5 West Core 1 L-This-month</t>
  </si>
  <si>
    <t>1LB - FL6 West Core 1 L-This-month</t>
  </si>
  <si>
    <t>1LB - FL8 West Core 1 L-This-month</t>
  </si>
  <si>
    <t>1LB - FL9 West Core 1 L-This-month</t>
  </si>
  <si>
    <t>1LB - FL10 West Core 1 L-This-month</t>
  </si>
  <si>
    <t>1LB - FL11 West Core 1 Lighting Kitchen-This-month</t>
  </si>
  <si>
    <t>1LB - FL12 West Core 1 L-This-month</t>
  </si>
  <si>
    <t>1LB - FL7 West Core 1 P-This-month</t>
  </si>
  <si>
    <t>1LB - FL7 West Core 1 L-This-month</t>
  </si>
  <si>
    <t>1LB - FL6 West Core 1 Comms-This-month</t>
  </si>
  <si>
    <t>1LB - FL11 West Core 1 P-This-month</t>
  </si>
  <si>
    <t>1LB-Ground Floor East Core 1 P-This-month</t>
  </si>
  <si>
    <t>1LB-Ground Floor East Core 1 L-This-month</t>
  </si>
  <si>
    <t>1LB - FL1 East Core 1 L-This-month</t>
  </si>
  <si>
    <t>1LB - FL1 East Core 1 P-This-month</t>
  </si>
  <si>
    <t>1LB - FL1 East Core 2 P-This-month</t>
  </si>
  <si>
    <t>1LB - FL1 East Core 2 L-This-month</t>
  </si>
  <si>
    <t>1LB - FL2 East Core 1 P-This-month</t>
  </si>
  <si>
    <t>1LB - FL2 East Core 1 L-This-month</t>
  </si>
  <si>
    <t>1LB - FL2 East Core 2 P-This-month</t>
  </si>
  <si>
    <t>1LB - FL2 East Core 2 L-This-month</t>
  </si>
  <si>
    <t>1LB - FL3 East Core 1 P-This-month</t>
  </si>
  <si>
    <t>1LB - FL3 East Core 1 L-This-month</t>
  </si>
  <si>
    <t>1LB - FL3 East Core 2 P-This-month</t>
  </si>
  <si>
    <t>1LB - FL3 East Core 2 L-This-month</t>
  </si>
  <si>
    <t>1LB - FL3 East Core 2 Metering Panel 1-This-month</t>
  </si>
  <si>
    <t>1LB - FL4 East Core 1 P-This-month</t>
  </si>
  <si>
    <t>1LB - FL4 East Core 1 L-This-month</t>
  </si>
  <si>
    <t>1LB - FL4 East Core 2 P-This-month</t>
  </si>
  <si>
    <t>1LB - FL4 East Core 2 L-This-month</t>
  </si>
  <si>
    <t>1LB - FL5 East Core 1 P-This-month</t>
  </si>
  <si>
    <t>1LB - FL5 East Core 1 L-This-month</t>
  </si>
  <si>
    <t>1LB - FL5 East Core 2 P-This-month</t>
  </si>
  <si>
    <t>1LB - FL5 East Core 2 L-This-month</t>
  </si>
  <si>
    <t>1LB - FL6 East Core 1 P-This-month</t>
  </si>
  <si>
    <t>1LB - FL6 East Core 1 L-This-month</t>
  </si>
  <si>
    <t>1LB - FL6 East Core 2 P-This-month</t>
  </si>
  <si>
    <t>1LB - FL6 East Core 2 L-This-month</t>
  </si>
  <si>
    <t>1LB - FL7 East Core 1 P-This-month</t>
  </si>
  <si>
    <t>1LB - FL7 East Core 1 L-This-month</t>
  </si>
  <si>
    <t>1LB - FL7 East Core 2 P-This-month</t>
  </si>
  <si>
    <t>1LB - FL7 East Core 2 L-This-month</t>
  </si>
  <si>
    <t>1LB - FL8 East Core 1 P-This-month</t>
  </si>
  <si>
    <t>1LB - FL8 East Core 1 L-This-month</t>
  </si>
  <si>
    <t>1LB - FL8 East Core 2 P-This-month</t>
  </si>
  <si>
    <t>1LB - FL8 East Core 2 L-This-month</t>
  </si>
  <si>
    <t>1LB - FL9 East Core 1 P-This-month</t>
  </si>
  <si>
    <t>1LB - FL9 East Core 1 L-This-month</t>
  </si>
  <si>
    <t>1LB - FL9 East Core 2 P-This-month</t>
  </si>
  <si>
    <t>1LB - FL9 East Core 2 L-This-month</t>
  </si>
  <si>
    <t>1LB - FL11 West Core 2 L-This-month</t>
  </si>
  <si>
    <t>1LB - Floor 01 East Electricity-This-month</t>
  </si>
  <si>
    <t>1LB - Floor 02 East Electricity-This-month</t>
  </si>
  <si>
    <t>1LB - Floor 03 East Electricity-This-month</t>
  </si>
  <si>
    <t>1LB - Floor 04 East Electricity-This-month</t>
  </si>
  <si>
    <t>1LB - Floor 05 East Electricity-This-month</t>
  </si>
  <si>
    <t>1LB - Floor 06 East Electricity-This-month</t>
  </si>
  <si>
    <t>1LB - Floor 07 East Electricity-This-month</t>
  </si>
  <si>
    <t>1LB - Floor 08 East Electricity-This-month</t>
  </si>
  <si>
    <t>1LB - Floor 09 East Electricity-This-month</t>
  </si>
  <si>
    <t>1LB - Floor 02 West Electricity-This-month</t>
  </si>
  <si>
    <t>1LB - Floor 03 West Electricity-This-month</t>
  </si>
  <si>
    <t>1LB - Floor 04 West Electricity-This-month</t>
  </si>
  <si>
    <t>1LB - Floor 05 West Electricity-This-month</t>
  </si>
  <si>
    <t>1LB - Floor 06 West Electricity-This-month</t>
  </si>
  <si>
    <t>1LB - Floor 07 West Electricity-This-month</t>
  </si>
  <si>
    <t>1LB - Floor 08 West Electricity-This-month</t>
  </si>
  <si>
    <t>1LB - Floor 09 West Electricity-This-month</t>
  </si>
  <si>
    <t>1LB - Floor 10 West Electricity-This-month</t>
  </si>
  <si>
    <t>1LB - Floor 11 West Electricity-This-month</t>
  </si>
  <si>
    <t>1LB - Floor 12 West Electricity-This-month</t>
  </si>
  <si>
    <t>1LB - Floor 01 Total Electricity-This-month</t>
  </si>
  <si>
    <t>1LB - Floor 02 Total Electricity-This-month</t>
  </si>
  <si>
    <t>1LB - Floor 03 Total Electricity-This-month</t>
  </si>
  <si>
    <t>1LB - Floor 04 Total Electricity-This-month</t>
  </si>
  <si>
    <t>1LB - Floor 05 Total Electricity-This-month</t>
  </si>
  <si>
    <t>1LB - Floor 06 Total Electricity-This-month</t>
  </si>
  <si>
    <t>1LB - Floor 07 Total Electricity-This-month</t>
  </si>
  <si>
    <t>1LB - Floor 08 Total Electricity-This-month</t>
  </si>
  <si>
    <t>1LB - Floor 09 Total Electricity-This-month</t>
  </si>
  <si>
    <t>1LB - Floor 10 Total Electricity-This-month</t>
  </si>
  <si>
    <t>1LB - Floor 11 Total Electricity-This-month</t>
  </si>
  <si>
    <t>1LB - Floor 12 Total Electricity-This-month</t>
  </si>
  <si>
    <t>1LB - FL2 West Core 2 L-Previous To Today Equivalent-month</t>
  </si>
  <si>
    <t>1LB - FL4 West Core 2 L-Previous To Today Equivalent-month</t>
  </si>
  <si>
    <t>1LB - FL5 West Core 2 L-Previous To Today Equivalent-month</t>
  </si>
  <si>
    <t>1LB - FL8 West Core 2 L-Previous To Today Equivalent-month</t>
  </si>
  <si>
    <t>1LB - FL9 West Core 2 L-Previous To Today Equivalent-month</t>
  </si>
  <si>
    <t>1LB - FL2 West Core 2 P-Previous To Today Equivalent-month</t>
  </si>
  <si>
    <t>1LB - FL4 West Core 2 P-Previous To Today Equivalent-month</t>
  </si>
  <si>
    <t>1LB - FL5 West Core 2 P-Previous To Today Equivalent-month</t>
  </si>
  <si>
    <t>1LB - FL6 West Core 2 P-Previous To Today Equivalent-month</t>
  </si>
  <si>
    <t>1LB - FL7 West Core 2 P-Previous To Today Equivalent-month</t>
  </si>
  <si>
    <t>1LB - FL8 West Core 2 P-Previous To Today Equivalent-month</t>
  </si>
  <si>
    <t>1LB - FL9 West Core 2 P-Previous To Today Equivalent-month</t>
  </si>
  <si>
    <t>1LB - FL10 West Core 2 P-Previous To Today Equivalent-month</t>
  </si>
  <si>
    <t>1LB - FL11 West Core 2 P-Previous To Today Equivalent-month</t>
  </si>
  <si>
    <t>1LB - FL11 West Core 2 DB-Previous To Today Equivalent-month</t>
  </si>
  <si>
    <t>1LB - FL12 West Core 2 P-Previous To Today Equivalent-month</t>
  </si>
  <si>
    <t>1LB - FL3 West Core 2 P-Previous To Today Equivalent-month</t>
  </si>
  <si>
    <t>1LB - FL3 West Core 2 L-Previous To Today Equivalent-month</t>
  </si>
  <si>
    <t>1LB - FL6 West Core 2 L-Previous To Today Equivalent-month</t>
  </si>
  <si>
    <t>1LB - FL7 West Core 2 L-Previous To Today Equivalent-month</t>
  </si>
  <si>
    <t>1LB - FL10 West Core 2 L-Previous To Today Equivalent-month</t>
  </si>
  <si>
    <t>1LB - FL12 West Core 2 L-Previous To Today Equivalent-month</t>
  </si>
  <si>
    <t>1LB - FL4 West Core 2 ATS-Previous To Today Equivalent-month</t>
  </si>
  <si>
    <t>1LB - FL1 West Core 1 P-Previous To Today Equivalent-month</t>
  </si>
  <si>
    <t>1LB - FL2 West Core 1 P-Previous To Today Equivalent-month</t>
  </si>
  <si>
    <t>1LB - FL3 West Core 1 P-Previous To Today Equivalent-month</t>
  </si>
  <si>
    <t>1LB - FL4 West Core 1 P-Previous To Today Equivalent-month</t>
  </si>
  <si>
    <t>1LB - FL5 West Core 1 P-Previous To Today Equivalent-month</t>
  </si>
  <si>
    <t>1LB - FL6 West Core 1 P-Previous To Today Equivalent-month</t>
  </si>
  <si>
    <t>1LB - FL8 West Core 1 P-Previous To Today Equivalent-month</t>
  </si>
  <si>
    <t>1LB - FL9 West Core 1 P-Previous To Today Equivalent-month</t>
  </si>
  <si>
    <t>1LB - FL10 West Core 1 P-Previous To Today Equivalent-month</t>
  </si>
  <si>
    <t>1LB - FL12 West Core 1 P-Previous To Today Equivalent-month</t>
  </si>
  <si>
    <t>1LB - FL2 West Core 1 L-Previous To Today Equivalent-month</t>
  </si>
  <si>
    <t>1LB - FL3 West Core 1 L-Previous To Today Equivalent-month</t>
  </si>
  <si>
    <t>1LB - FL4 West Core 1 L-Previous To Today Equivalent-month</t>
  </si>
  <si>
    <t>1LB - FL5 West Core 1 L-Previous To Today Equivalent-month</t>
  </si>
  <si>
    <t>1LB - FL6 West Core 1 L-Previous To Today Equivalent-month</t>
  </si>
  <si>
    <t>1LB - FL8 West Core 1 L-Previous To Today Equivalent-month</t>
  </si>
  <si>
    <t>1LB - FL9 West Core 1 L-Previous To Today Equivalent-month</t>
  </si>
  <si>
    <t>1LB - FL10 West Core 1 L-Previous To Today Equivalent-month</t>
  </si>
  <si>
    <t>1LB - FL11 West Core 1 Lighting Kitchen-Previous To Today Equivalent-month</t>
  </si>
  <si>
    <t>1LB - FL12 West Core 1 L-Previous To Today Equivalent-month</t>
  </si>
  <si>
    <t>1LB - FL7 West Core 1 P-Previous To Today Equivalent-month</t>
  </si>
  <si>
    <t>1LB - FL7 West Core 1 L-Previous To Today Equivalent-month</t>
  </si>
  <si>
    <t>1LB - FL6 West Core 1 Comms-Previous To Today Equivalent-month</t>
  </si>
  <si>
    <t>1LB - FL11 West Core 1 P-Previous To Today Equivalent-month</t>
  </si>
  <si>
    <t>1LB-Ground Floor East Core 1 P-Previous To Today Equivalent-month</t>
  </si>
  <si>
    <t>1LB-Ground Floor East Core 1 L-Previous To Today Equivalent-month</t>
  </si>
  <si>
    <t>1LB - FL1 East Core 1 L-Previous To Today Equivalent-month</t>
  </si>
  <si>
    <t>1LB - FL1 East Core 1 P-Previous To Today Equivalent-month</t>
  </si>
  <si>
    <t>1LB - FL1 East Core 2 P-Previous To Today Equivalent-month</t>
  </si>
  <si>
    <t>1LB - FL1 East Core 2 L-Previous To Today Equivalent-month</t>
  </si>
  <si>
    <t>1LB - FL2 East Core 1 P-Previous To Today Equivalent-month</t>
  </si>
  <si>
    <t>1LB - FL2 East Core 1 L-Previous To Today Equivalent-month</t>
  </si>
  <si>
    <t>1LB - FL2 East Core 2 P-Previous To Today Equivalent-month</t>
  </si>
  <si>
    <t>1LB - FL2 East Core 2 L-Previous To Today Equivalent-month</t>
  </si>
  <si>
    <t>1LB - FL3 East Core 1 P-Previous To Today Equivalent-month</t>
  </si>
  <si>
    <t>1LB - FL3 East Core 1 L-Previous To Today Equivalent-month</t>
  </si>
  <si>
    <t>1LB - FL3 East Core 2 P-Previous To Today Equivalent-month</t>
  </si>
  <si>
    <t>1LB - FL3 East Core 2 L-Previous To Today Equivalent-month</t>
  </si>
  <si>
    <t>1LB - FL3 East Core 2 Metering Panel 1-Previous To Today Equivalent-month</t>
  </si>
  <si>
    <t>1LB - FL4 East Core 1 P-Previous To Today Equivalent-month</t>
  </si>
  <si>
    <t>1LB - FL4 East Core 1 L-Previous To Today Equivalent-month</t>
  </si>
  <si>
    <t>1LB - FL4 East Core 2 P-Previous To Today Equivalent-month</t>
  </si>
  <si>
    <t>1LB - FL4 East Core 2 L-Previous To Today Equivalent-month</t>
  </si>
  <si>
    <t>1LB - FL5 East Core 1 P-Previous To Today Equivalent-month</t>
  </si>
  <si>
    <t>1LB - FL5 East Core 1 L-Previous To Today Equivalent-month</t>
  </si>
  <si>
    <t>1LB - FL5 East Core 2 P-Previous To Today Equivalent-month</t>
  </si>
  <si>
    <t>1LB - FL5 East Core 2 L-Previous To Today Equivalent-month</t>
  </si>
  <si>
    <t>1LB - FL6 East Core 1 P-Previous To Today Equivalent-month</t>
  </si>
  <si>
    <t>1LB - FL6 East Core 1 L-Previous To Today Equivalent-month</t>
  </si>
  <si>
    <t>1LB - FL6 East Core 2 P-Previous To Today Equivalent-month</t>
  </si>
  <si>
    <t>1LB - FL6 East Core 2 L-Previous To Today Equivalent-month</t>
  </si>
  <si>
    <t>1LB - FL7 East Core 1 P-Previous To Today Equivalent-month</t>
  </si>
  <si>
    <t>1LB - FL7 East Core 1 L-Previous To Today Equivalent-month</t>
  </si>
  <si>
    <t>1LB - FL7 East Core 2 P-Previous To Today Equivalent-month</t>
  </si>
  <si>
    <t>1LB - FL7 East Core 2 L-Previous To Today Equivalent-month</t>
  </si>
  <si>
    <t>1LB - FL8 East Core 1 P-Previous To Today Equivalent-month</t>
  </si>
  <si>
    <t>1LB - FL8 East Core 1 L-Previous To Today Equivalent-month</t>
  </si>
  <si>
    <t>1LB - FL8 East Core 2 P-Previous To Today Equivalent-month</t>
  </si>
  <si>
    <t>1LB - FL8 East Core 2 L-Previous To Today Equivalent-month</t>
  </si>
  <si>
    <t>1LB - FL9 East Core 1 P-Previous To Today Equivalent-month</t>
  </si>
  <si>
    <t>1LB - FL9 East Core 1 L-Previous To Today Equivalent-month</t>
  </si>
  <si>
    <t>1LB - FL9 East Core 2 P-Previous To Today Equivalent-month</t>
  </si>
  <si>
    <t>1LB - FL9 East Core 2 L-Previous To Today Equivalent-month</t>
  </si>
  <si>
    <t>1LB - FL11 West Core 2 L-Previous To Today Equivalent-month</t>
  </si>
  <si>
    <t>1LB - Floor 01 East Electricity-Previous To Today Equivalent-month</t>
  </si>
  <si>
    <t>1LB - Floor 02 East Electricity-Previous To Today Equivalent-month</t>
  </si>
  <si>
    <t>1LB - Floor 03 East Electricity-Previous To Today Equivalent-month</t>
  </si>
  <si>
    <t>1LB - Floor 04 East Electricity-Previous To Today Equivalent-month</t>
  </si>
  <si>
    <t>1LB - Floor 05 East Electricity-Previous To Today Equivalent-month</t>
  </si>
  <si>
    <t>1LB - Floor 06 East Electricity-Previous To Today Equivalent-month</t>
  </si>
  <si>
    <t>1LB - Floor 07 East Electricity-Previous To Today Equivalent-month</t>
  </si>
  <si>
    <t>1LB - Floor 08 East Electricity-Previous To Today Equivalent-month</t>
  </si>
  <si>
    <t>1LB - Floor 09 East Electricity-Previous To Today Equivalent-month</t>
  </si>
  <si>
    <t>1LB - Floor 02 West Electricity-Previous To Today Equivalent-month</t>
  </si>
  <si>
    <t>1LB - Floor 03 West Electricity-Previous To Today Equivalent-month</t>
  </si>
  <si>
    <t>1LB - Floor 04 West Electricity-Previous To Today Equivalent-month</t>
  </si>
  <si>
    <t>1LB - Floor 05 West Electricity-Previous To Today Equivalent-month</t>
  </si>
  <si>
    <t>1LB - Floor 06 West Electricity-Previous To Today Equivalent-month</t>
  </si>
  <si>
    <t>1LB - Floor 07 West Electricity-Previous To Today Equivalent-month</t>
  </si>
  <si>
    <t>1LB - Floor 08 West Electricity-Previous To Today Equivalent-month</t>
  </si>
  <si>
    <t>1LB - Floor 09 West Electricity-Previous To Today Equivalent-month</t>
  </si>
  <si>
    <t>1LB - Floor 10 West Electricity-Previous To Today Equivalent-month</t>
  </si>
  <si>
    <t>1LB - Floor 11 West Electricity-Previous To Today Equivalent-month</t>
  </si>
  <si>
    <t>1LB - Floor 12 West Electricity-Previous To Today Equivalent-month</t>
  </si>
  <si>
    <t>1LB - Floor 01 Total Electricity-Previous To Today Equivalent-month</t>
  </si>
  <si>
    <t>1LB - Floor 02 Total Electricity-Previous To Today Equivalent-month</t>
  </si>
  <si>
    <t>1LB - Floor 03 Total Electricity-Previous To Today Equivalent-month</t>
  </si>
  <si>
    <t>1LB - Floor 04 Total Electricity-Previous To Today Equivalent-month</t>
  </si>
  <si>
    <t>1LB - Floor 05 Total Electricity-Previous To Today Equivalent-month</t>
  </si>
  <si>
    <t>1LB - Floor 06 Total Electricity-Previous To Today Equivalent-month</t>
  </si>
  <si>
    <t>1LB - Floor 07 Total Electricity-Previous To Today Equivalent-month</t>
  </si>
  <si>
    <t>1LB - Floor 08 Total Electricity-Previous To Today Equivalent-month</t>
  </si>
  <si>
    <t>1LB - Floor 09 Total Electricity-Previous To Today Equivalent-month</t>
  </si>
  <si>
    <t>1LB - Floor 10 Total Electricity-Previous To Today Equivalent-month</t>
  </si>
  <si>
    <t>1LB - Floor 11 Total Electricity-Previous To Today Equivalent-month</t>
  </si>
  <si>
    <t>1LB - Floor 12 Total Electricity-Previous To Today Equivalent-month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</si>
</sst>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  <scheme val="minor"/>
    </font>
    <font>
      <sz val="11"/>
      <color theme="9"/>
      <name val="Calibri"/>
      <family val="2"/>
    </font>
    <font>
      <sz val="11"/>
      <color theme="7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5700"/>
      <name val="Calibri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4" fillId="2" borderId="0"/>
    <xf numFmtId="0" fontId="4" fillId="3" borderId="0"/>
    <xf numFmtId="0" fontId="4" fillId="4" borderId="0"/>
    <xf numFmtId="0" fontId="5" fillId="5" borderId="0"/>
    <xf numFmtId="0" fontId="6" fillId="0" borderId="0"/>
    <xf numFmtId="0" fontId="6" fillId="0" borderId="0"/>
    <xf numFmtId="0" fontId="1" fillId="0" borderId="0"/>
    <xf numFmtId="0" fontId="14" fillId="6" borderId="0"/>
  </cellStyleXfs>
  <cellXfs count="8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 applyProtection="1">
      <alignment vertical="center" wrapText="1" readingOrder="1"/>
      <protection locked="0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0" borderId="0" xfId="6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64" fontId="7" fillId="0" borderId="0" xfId="6" applyNumberFormat="1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5" fillId="5" borderId="0" xfId="5" applyAlignment="1" applyProtection="1">
      <alignment horizontal="center" vertical="center" wrapText="1" readingOrder="1"/>
      <protection locked="0"/>
    </xf>
    <xf numFmtId="0" fontId="5" fillId="5" borderId="0" xfId="5" applyAlignment="1">
      <alignment horizontal="center" vertical="center"/>
    </xf>
    <xf numFmtId="0" fontId="10" fillId="0" borderId="0" xfId="0" applyFont="1" applyAlignment="1">
      <alignment vertical="center"/>
    </xf>
    <xf numFmtId="0" fontId="5" fillId="5" borderId="2" xfId="5" applyBorder="1" applyAlignment="1">
      <alignment horizontal="center" vertical="center" wrapText="1"/>
    </xf>
    <xf numFmtId="0" fontId="0" fillId="0" borderId="4" xfId="0" applyBorder="1"/>
    <xf numFmtId="0" fontId="4" fillId="3" borderId="4" xfId="3" applyBorder="1" applyAlignment="1">
      <alignment horizontal="left" vertical="center" wrapText="1"/>
    </xf>
    <xf numFmtId="0" fontId="4" fillId="3" borderId="4" xfId="3" applyBorder="1"/>
    <xf numFmtId="0" fontId="4" fillId="3" borderId="4" xfId="3" applyBorder="1" applyAlignment="1">
      <alignment vertical="center" wrapText="1"/>
    </xf>
    <xf numFmtId="0" fontId="4" fillId="3" borderId="4" xfId="3" applyBorder="1" applyAlignment="1" applyProtection="1">
      <alignment vertical="center" wrapText="1" readingOrder="1"/>
      <protection locked="0"/>
    </xf>
    <xf numFmtId="0" fontId="4" fillId="3" borderId="4" xfId="3" applyBorder="1" applyAlignment="1">
      <alignment vertical="center"/>
    </xf>
    <xf numFmtId="0" fontId="11" fillId="4" borderId="4" xfId="4" applyFont="1" applyBorder="1" applyAlignment="1">
      <alignment vertical="center" wrapText="1"/>
    </xf>
    <xf numFmtId="0" fontId="11" fillId="4" borderId="4" xfId="4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4" fillId="2" borderId="4" xfId="2" applyBorder="1" applyAlignment="1">
      <alignment vertical="center"/>
    </xf>
    <xf numFmtId="0" fontId="4" fillId="2" borderId="4" xfId="2" applyBorder="1" applyAlignment="1" applyProtection="1">
      <alignment vertical="center" wrapText="1" readingOrder="1"/>
      <protection locked="0"/>
    </xf>
    <xf numFmtId="0" fontId="4" fillId="2" borderId="4" xfId="2" applyBorder="1" applyAlignment="1">
      <alignment horizontal="center" vertical="center"/>
    </xf>
    <xf numFmtId="0" fontId="4" fillId="2" borderId="4" xfId="2" applyBorder="1"/>
    <xf numFmtId="0" fontId="4" fillId="2" borderId="0" xfId="2"/>
    <xf numFmtId="0" fontId="4" fillId="2" borderId="4" xfId="2" applyBorder="1" applyAlignment="1">
      <alignment vertical="center" wrapText="1"/>
    </xf>
    <xf numFmtId="49" fontId="7" fillId="0" borderId="0" xfId="6" applyNumberFormat="1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wrapText="1"/>
    </xf>
    <xf numFmtId="49" fontId="1" fillId="0" borderId="0" xfId="0" applyNumberFormat="1" applyFont="1"/>
    <xf numFmtId="0" fontId="14" fillId="6" borderId="0" xfId="9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7" fillId="8" borderId="0" xfId="0" applyFont="1" applyFill="1"/>
    <xf numFmtId="0" fontId="7" fillId="8" borderId="0" xfId="0" applyFont="1" applyFill="1" applyAlignment="1">
      <alignment vertical="center"/>
    </xf>
    <xf numFmtId="0" fontId="15" fillId="0" borderId="0" xfId="9" applyFont="1" applyFill="1"/>
    <xf numFmtId="0" fontId="8" fillId="0" borderId="0" xfId="0" applyFont="1"/>
    <xf numFmtId="49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8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1" fillId="0" borderId="0" xfId="6" applyNumberFormat="1" applyFont="1" applyAlignment="1">
      <alignment vertical="top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0" fontId="16" fillId="7" borderId="5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right"/>
    </xf>
    <xf numFmtId="0" fontId="9" fillId="0" borderId="0" xfId="0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49" fontId="3" fillId="0" borderId="0" xfId="0" applyNumberFormat="1" applyFont="1" applyAlignment="1">
      <alignment vertical="center" wrapText="1"/>
    </xf>
    <xf numFmtId="0" fontId="0" fillId="9" borderId="0" xfId="0" applyFill="1"/>
  </cellXfs>
  <cellStyles count="10">
    <cellStyle name="20% - Accent1" xfId="2" builtinId="30"/>
    <cellStyle name="20% - Accent2" xfId="3" builtinId="34"/>
    <cellStyle name="20% - Accent3" xfId="4" builtinId="38"/>
    <cellStyle name="Accent5" xfId="5" builtinId="45"/>
    <cellStyle name="Hyperlink" xfId="1" builtinId="8"/>
    <cellStyle name="Neutral" xfId="9" builtinId="28"/>
    <cellStyle name="Normal" xfId="0" builtinId="0"/>
    <cellStyle name="Normal 2" xfId="8" xr:uid="{00000000-0005-0000-0000-000008000000}"/>
    <cellStyle name="Normal 2 2" xfId="6" xr:uid="{00000000-0005-0000-0000-000006000000}"/>
    <cellStyle name="Normal 2 2 2" xfId="7" xr:uid="{00000000-0005-0000-0000-000007000000}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Project"/>
      <sheetName val="System Config"/>
      <sheetName val="Groups"/>
      <sheetName val="Users"/>
      <sheetName val="Serial Networks"/>
      <sheetName val="Modbus IP devices"/>
      <sheetName val="Schedules"/>
      <sheetName val="Special Events"/>
      <sheetName val="Notification Classes"/>
      <sheetName val="Alarms"/>
      <sheetName val="Trendlogs"/>
      <sheetName val="Meters"/>
      <sheetName val="Energy Reports"/>
      <sheetName val="Summary Reports"/>
      <sheetName val="Tenants"/>
      <sheetName val="Tariffs"/>
      <sheetName val="Spaces"/>
      <sheetName val="Utility Billing"/>
      <sheetName val="After Hours Billing"/>
      <sheetName val="CustomMeterPoints"/>
      <sheetName val="Meter Types"/>
      <sheetName val="values"/>
    </sheetNames>
    <sheetDataSet>
      <sheetData sheetId="0"/>
      <sheetData sheetId="1"/>
      <sheetData sheetId="2"/>
      <sheetData sheetId="3">
        <row r="2">
          <cell r="I2"/>
        </row>
        <row r="3">
          <cell r="I3" t="str">
            <v>Group Settings</v>
          </cell>
        </row>
        <row r="4">
          <cell r="I4"/>
        </row>
        <row r="5">
          <cell r="I5" t="str">
            <v>Group Name</v>
          </cell>
        </row>
        <row r="6">
          <cell r="I6"/>
        </row>
        <row r="7">
          <cell r="I7" t="str">
            <v>Administrators</v>
          </cell>
        </row>
        <row r="8">
          <cell r="I8" t="str">
            <v>Override Plant</v>
          </cell>
        </row>
        <row r="9">
          <cell r="I9" t="str">
            <v>View Only</v>
          </cell>
        </row>
        <row r="10">
          <cell r="I10" t="str">
            <v>Tenants</v>
          </cell>
        </row>
        <row r="11">
          <cell r="I11"/>
        </row>
        <row r="12">
          <cell r="I12"/>
        </row>
        <row r="13">
          <cell r="I13"/>
        </row>
        <row r="14">
          <cell r="I14"/>
        </row>
        <row r="15">
          <cell r="I15"/>
        </row>
        <row r="16">
          <cell r="I16"/>
        </row>
        <row r="17">
          <cell r="I17"/>
        </row>
        <row r="18">
          <cell r="I18"/>
        </row>
        <row r="19">
          <cell r="I19"/>
        </row>
        <row r="20">
          <cell r="I20"/>
        </row>
        <row r="21">
          <cell r="I21"/>
        </row>
        <row r="22">
          <cell r="I22"/>
        </row>
        <row r="23">
          <cell r="I23"/>
        </row>
        <row r="24">
          <cell r="I24"/>
        </row>
        <row r="25">
          <cell r="I25"/>
        </row>
        <row r="26">
          <cell r="I26"/>
        </row>
      </sheetData>
      <sheetData sheetId="4"/>
      <sheetData sheetId="5"/>
      <sheetData sheetId="6"/>
      <sheetData sheetId="7"/>
      <sheetData sheetId="8">
        <row r="7">
          <cell r="I7"/>
        </row>
        <row r="8">
          <cell r="I8"/>
        </row>
        <row r="9">
          <cell r="I9"/>
        </row>
        <row r="10">
          <cell r="I10"/>
        </row>
        <row r="11">
          <cell r="I11"/>
        </row>
        <row r="12">
          <cell r="I12"/>
        </row>
        <row r="13">
          <cell r="I13"/>
        </row>
        <row r="14">
          <cell r="I14"/>
        </row>
        <row r="15">
          <cell r="I15"/>
        </row>
        <row r="16">
          <cell r="I16"/>
        </row>
        <row r="17">
          <cell r="I17"/>
        </row>
        <row r="18">
          <cell r="I18"/>
        </row>
        <row r="19">
          <cell r="I19"/>
        </row>
        <row r="20">
          <cell r="I20"/>
        </row>
        <row r="21">
          <cell r="I21"/>
        </row>
        <row r="22">
          <cell r="I22"/>
        </row>
        <row r="23">
          <cell r="I23"/>
        </row>
        <row r="24">
          <cell r="I24"/>
        </row>
        <row r="25">
          <cell r="I25"/>
        </row>
        <row r="26">
          <cell r="I26"/>
        </row>
        <row r="27">
          <cell r="I27"/>
        </row>
        <row r="28">
          <cell r="I28"/>
        </row>
        <row r="29">
          <cell r="I29"/>
        </row>
        <row r="30">
          <cell r="I30"/>
        </row>
        <row r="31">
          <cell r="I31"/>
        </row>
        <row r="32">
          <cell r="I32"/>
        </row>
        <row r="33">
          <cell r="I33"/>
        </row>
        <row r="34">
          <cell r="I34"/>
        </row>
        <row r="35">
          <cell r="I35"/>
        </row>
        <row r="36">
          <cell r="I36"/>
        </row>
        <row r="37">
          <cell r="I37"/>
        </row>
        <row r="38">
          <cell r="I38"/>
        </row>
        <row r="39">
          <cell r="I39"/>
        </row>
        <row r="40">
          <cell r="I40"/>
        </row>
        <row r="41">
          <cell r="I41"/>
        </row>
        <row r="42">
          <cell r="I42"/>
        </row>
        <row r="43">
          <cell r="I43"/>
        </row>
        <row r="44">
          <cell r="I44"/>
        </row>
        <row r="45">
          <cell r="I45"/>
        </row>
        <row r="46">
          <cell r="I46"/>
        </row>
        <row r="47">
          <cell r="I47"/>
        </row>
        <row r="48">
          <cell r="I48"/>
        </row>
        <row r="49">
          <cell r="I49"/>
        </row>
        <row r="50">
          <cell r="I50"/>
        </row>
        <row r="51">
          <cell r="I51"/>
        </row>
        <row r="52">
          <cell r="I52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C4" t="str">
            <v>Africa</v>
          </cell>
          <cell r="L4" t="str">
            <v>Athens</v>
          </cell>
          <cell r="M4" t="b">
            <v>1</v>
          </cell>
          <cell r="Q4" t="str">
            <v>Metric</v>
          </cell>
          <cell r="W4" t="str">
            <v>CMS</v>
          </cell>
          <cell r="AD4" t="str">
            <v>COM2</v>
          </cell>
          <cell r="AH4" t="str">
            <v>On</v>
          </cell>
          <cell r="AI4">
            <v>0</v>
          </cell>
          <cell r="AJ4"/>
          <cell r="AK4" t="str">
            <v>Analog Output</v>
          </cell>
          <cell r="AM4" t="str">
            <v>Monday - Sunday</v>
          </cell>
          <cell r="AN4" t="str">
            <v>Any day</v>
          </cell>
          <cell r="AO4" t="str">
            <v>Any month</v>
          </cell>
          <cell r="AP4" t="str">
            <v>Any year</v>
          </cell>
          <cell r="AQ4" t="str">
            <v>Any week</v>
          </cell>
          <cell r="AS4" t="str">
            <v>Alarms</v>
          </cell>
          <cell r="AT4" t="str">
            <v>CMS-x-x</v>
          </cell>
          <cell r="AU4" t="str">
            <v>To alarm</v>
          </cell>
          <cell r="AW4"/>
          <cell r="AX4" t="str">
            <v>Active</v>
          </cell>
          <cell r="BG4" t="str">
            <v>Electricity</v>
          </cell>
          <cell r="BI4"/>
          <cell r="BJ4" t="str">
            <v>AcuRev2000 Series rev1</v>
          </cell>
          <cell r="BK4" t="str">
            <v>Acuvim IIBN series</v>
          </cell>
          <cell r="BL4" t="e">
            <v>#REF!</v>
          </cell>
          <cell r="BM4" t="e">
            <v>#REF!</v>
          </cell>
          <cell r="CB4" t="str">
            <v>All</v>
          </cell>
          <cell r="CF4" t="e">
            <v>#REF!</v>
          </cell>
          <cell r="CN4" t="str">
            <v>Flat / Bill</v>
          </cell>
          <cell r="CP4"/>
          <cell r="CQ4"/>
          <cell r="CR4" t="b">
            <v>0</v>
          </cell>
          <cell r="CS4" t="str">
            <v>Jan</v>
          </cell>
          <cell r="CT4"/>
          <cell r="CV4"/>
          <cell r="CW4"/>
          <cell r="CX4" t="str">
            <v>No Rounding</v>
          </cell>
        </row>
        <row r="5">
          <cell r="C5" t="str">
            <v>America</v>
          </cell>
          <cell r="L5" t="str">
            <v>Auckland</v>
          </cell>
          <cell r="M5" t="b">
            <v>0</v>
          </cell>
          <cell r="Q5" t="str">
            <v>Imperial</v>
          </cell>
          <cell r="W5" t="str">
            <v>Landmark</v>
          </cell>
          <cell r="AD5" t="str">
            <v>COM3</v>
          </cell>
          <cell r="AH5" t="str">
            <v>Off</v>
          </cell>
          <cell r="AI5">
            <v>2.0833333333333332E-2</v>
          </cell>
          <cell r="AJ5"/>
          <cell r="AK5" t="str">
            <v>Analog Value</v>
          </cell>
          <cell r="AM5" t="str">
            <v>Monday</v>
          </cell>
          <cell r="AN5">
            <v>1</v>
          </cell>
          <cell r="AO5" t="str">
            <v>January</v>
          </cell>
          <cell r="AP5">
            <v>2019</v>
          </cell>
          <cell r="AQ5" t="str">
            <v>Days 1 to 7</v>
          </cell>
          <cell r="AS5" t="str">
            <v>Trendlogs</v>
          </cell>
          <cell r="AT5" t="str">
            <v>Landmark-x-x</v>
          </cell>
          <cell r="AU5" t="str">
            <v>To normal</v>
          </cell>
          <cell r="AW5"/>
          <cell r="AX5" t="str">
            <v>Inactive</v>
          </cell>
          <cell r="BG5" t="str">
            <v>Gas</v>
          </cell>
          <cell r="BI5"/>
          <cell r="BJ5" t="str">
            <v>Acuvim II Series rev1</v>
          </cell>
          <cell r="BK5" t="str">
            <v>Ceiec Electric Technology PMC-53M series</v>
          </cell>
          <cell r="BL5" t="e">
            <v>#REF!</v>
          </cell>
          <cell r="BM5" t="e">
            <v>#REF!</v>
          </cell>
          <cell r="CB5" t="str">
            <v>Electricity</v>
          </cell>
          <cell r="CF5" t="e">
            <v>#REF!</v>
          </cell>
          <cell r="CN5" t="str">
            <v>Flat / Day</v>
          </cell>
          <cell r="CP5"/>
          <cell r="CQ5"/>
          <cell r="CR5" t="str">
            <v>Monthly</v>
          </cell>
          <cell r="CS5" t="str">
            <v>Feb</v>
          </cell>
          <cell r="CT5"/>
          <cell r="CV5"/>
          <cell r="CW5"/>
          <cell r="CX5" t="str">
            <v>1 minute</v>
          </cell>
        </row>
        <row r="6">
          <cell r="C6" t="str">
            <v>Asia</v>
          </cell>
          <cell r="L6" t="str">
            <v>Australian Capital Territory</v>
          </cell>
          <cell r="W6" t="str">
            <v>CBI</v>
          </cell>
          <cell r="AD6" t="str">
            <v>COM4</v>
          </cell>
          <cell r="AI6">
            <v>4.1666666666666699E-2</v>
          </cell>
          <cell r="AJ6"/>
          <cell r="AK6" t="str">
            <v>Binary Output</v>
          </cell>
          <cell r="AM6" t="str">
            <v>Tuesday</v>
          </cell>
          <cell r="AN6">
            <v>2</v>
          </cell>
          <cell r="AO6" t="str">
            <v>February</v>
          </cell>
          <cell r="AP6">
            <v>2020</v>
          </cell>
          <cell r="AQ6" t="str">
            <v>Days 8 to 14</v>
          </cell>
          <cell r="AS6" t="str">
            <v>Any</v>
          </cell>
          <cell r="AT6" t="str">
            <v>CBI-x-x</v>
          </cell>
          <cell r="AU6" t="str">
            <v>To alarm and normal</v>
          </cell>
          <cell r="AW6"/>
          <cell r="AX6">
            <v>1</v>
          </cell>
          <cell r="BG6" t="str">
            <v>Water</v>
          </cell>
          <cell r="BI6"/>
          <cell r="BJ6" t="str">
            <v>Acuvim II Series w/ THD</v>
          </cell>
          <cell r="BK6" t="str">
            <v>Dent PowerScout 3037</v>
          </cell>
          <cell r="BL6" t="e">
            <v>#REF!</v>
          </cell>
          <cell r="BM6" t="e">
            <v>#REF!</v>
          </cell>
          <cell r="CB6" t="str">
            <v>Gas</v>
          </cell>
          <cell r="CF6" t="e">
            <v>#REF!</v>
          </cell>
          <cell r="CN6" t="str">
            <v>% of invoice</v>
          </cell>
          <cell r="CP6"/>
          <cell r="CQ6"/>
          <cell r="CR6" t="str">
            <v>Every financial quarter</v>
          </cell>
          <cell r="CS6" t="str">
            <v>Mar</v>
          </cell>
          <cell r="CT6"/>
          <cell r="CV6"/>
          <cell r="CW6"/>
          <cell r="CX6" t="str">
            <v>5 minutes</v>
          </cell>
        </row>
        <row r="7">
          <cell r="C7" t="str">
            <v>Atlantic</v>
          </cell>
          <cell r="L7" t="str">
            <v>Beijing</v>
          </cell>
          <cell r="W7" t="str">
            <v>BoL</v>
          </cell>
          <cell r="AD7"/>
          <cell r="AI7">
            <v>6.25E-2</v>
          </cell>
          <cell r="AJ7"/>
          <cell r="AK7" t="str">
            <v>Binary Value</v>
          </cell>
          <cell r="AM7" t="str">
            <v>Wednesday</v>
          </cell>
          <cell r="AN7">
            <v>3</v>
          </cell>
          <cell r="AO7" t="str">
            <v>March</v>
          </cell>
          <cell r="AP7">
            <v>2021</v>
          </cell>
          <cell r="AQ7" t="str">
            <v>Days 15 to 21</v>
          </cell>
          <cell r="AT7" t="str">
            <v>BoL-x-x</v>
          </cell>
          <cell r="AU7" t="str">
            <v>To fault</v>
          </cell>
          <cell r="AW7"/>
          <cell r="AX7">
            <v>2</v>
          </cell>
          <cell r="BG7" t="str">
            <v>Fluid energy</v>
          </cell>
          <cell r="BI7"/>
          <cell r="BJ7" t="str">
            <v>Ceiec Electric Technology PMC-53M series</v>
          </cell>
          <cell r="BK7" t="str">
            <v>Dynasonics TFX Ultra</v>
          </cell>
          <cell r="BL7" t="e">
            <v>#REF!</v>
          </cell>
          <cell r="BM7" t="e">
            <v>#REF!</v>
          </cell>
          <cell r="CB7" t="str">
            <v>Water</v>
          </cell>
          <cell r="CF7" t="e">
            <v>#REF!</v>
          </cell>
          <cell r="CN7" t="str">
            <v>Late fee - Flat</v>
          </cell>
          <cell r="CP7"/>
          <cell r="CQ7"/>
          <cell r="CR7" t="str">
            <v>Every x days from lease start</v>
          </cell>
          <cell r="CS7" t="str">
            <v>Apr</v>
          </cell>
          <cell r="CT7"/>
          <cell r="CV7"/>
          <cell r="CW7"/>
          <cell r="CX7" t="str">
            <v>10 minutes</v>
          </cell>
        </row>
        <row r="8">
          <cell r="C8" t="str">
            <v>Australia</v>
          </cell>
          <cell r="L8" t="str">
            <v>Chicago</v>
          </cell>
          <cell r="W8" t="str">
            <v>FTGI</v>
          </cell>
          <cell r="AI8">
            <v>8.3333333333333301E-2</v>
          </cell>
          <cell r="AJ8"/>
          <cell r="AK8" t="str">
            <v>Multi-state Output</v>
          </cell>
          <cell r="AM8" t="str">
            <v>Thursday</v>
          </cell>
          <cell r="AN8">
            <v>4</v>
          </cell>
          <cell r="AO8" t="str">
            <v>April</v>
          </cell>
          <cell r="AP8">
            <v>2022</v>
          </cell>
          <cell r="AQ8" t="str">
            <v>Days 22 to 28</v>
          </cell>
          <cell r="AT8" t="str">
            <v>FTGI-x-x</v>
          </cell>
          <cell r="AU8" t="str">
            <v>All</v>
          </cell>
          <cell r="AW8"/>
          <cell r="AX8">
            <v>3</v>
          </cell>
          <cell r="BG8" t="str">
            <v>Diesel</v>
          </cell>
          <cell r="BI8"/>
          <cell r="BJ8" t="str">
            <v>Crompton Integra 1630</v>
          </cell>
          <cell r="BK8" t="str">
            <v>E-Mon CL3200 B</v>
          </cell>
          <cell r="BL8" t="e">
            <v>#REF!</v>
          </cell>
          <cell r="BM8" t="e">
            <v>#REF!</v>
          </cell>
          <cell r="CB8" t="str">
            <v>Fluid energy</v>
          </cell>
          <cell r="CF8" t="e">
            <v>#REF!</v>
          </cell>
          <cell r="CN8" t="str">
            <v>Late fee - Percentage</v>
          </cell>
          <cell r="CP8"/>
          <cell r="CQ8"/>
          <cell r="CS8" t="str">
            <v>May</v>
          </cell>
          <cell r="CT8"/>
          <cell r="CV8"/>
          <cell r="CW8"/>
          <cell r="CX8" t="str">
            <v>15 minutes</v>
          </cell>
        </row>
        <row r="9">
          <cell r="C9" t="str">
            <v>Europe</v>
          </cell>
          <cell r="L9" t="str">
            <v>China</v>
          </cell>
          <cell r="W9" t="str">
            <v>TAMH</v>
          </cell>
          <cell r="AI9">
            <v>0.104166666666667</v>
          </cell>
          <cell r="AJ9"/>
          <cell r="AK9" t="str">
            <v>Multi-state Value</v>
          </cell>
          <cell r="AM9" t="str">
            <v>Firday</v>
          </cell>
          <cell r="AN9">
            <v>5</v>
          </cell>
          <cell r="AO9" t="str">
            <v>May</v>
          </cell>
          <cell r="AP9">
            <v>2023</v>
          </cell>
          <cell r="AQ9" t="str">
            <v>Days 29 to 31</v>
          </cell>
          <cell r="AT9" t="str">
            <v>TAMH-x-x</v>
          </cell>
          <cell r="AW9"/>
          <cell r="AX9">
            <v>4</v>
          </cell>
          <cell r="BI9"/>
          <cell r="BJ9" t="str">
            <v>E-Mon CL3200 M</v>
          </cell>
          <cell r="BK9" t="str">
            <v>E-Mon CL3400 B</v>
          </cell>
          <cell r="BL9" t="e">
            <v>#REF!</v>
          </cell>
          <cell r="BM9" t="e">
            <v>#REF!</v>
          </cell>
          <cell r="CB9" t="str">
            <v>Diesel</v>
          </cell>
          <cell r="CF9" t="e">
            <v>#REF!</v>
          </cell>
          <cell r="CP9"/>
          <cell r="CQ9"/>
          <cell r="CS9" t="str">
            <v>Jun</v>
          </cell>
          <cell r="CT9"/>
          <cell r="CV9"/>
          <cell r="CW9"/>
          <cell r="CX9" t="str">
            <v>30 minutes</v>
          </cell>
        </row>
        <row r="10">
          <cell r="C10" t="str">
            <v>Indian</v>
          </cell>
          <cell r="L10" t="str">
            <v>Christchurch</v>
          </cell>
          <cell r="W10" t="str">
            <v>SSP</v>
          </cell>
          <cell r="AI10">
            <v>0.125</v>
          </cell>
          <cell r="AJ10"/>
          <cell r="AM10" t="str">
            <v>Saturday</v>
          </cell>
          <cell r="AN10">
            <v>6</v>
          </cell>
          <cell r="AO10" t="str">
            <v>June</v>
          </cell>
          <cell r="AP10">
            <v>2024</v>
          </cell>
          <cell r="AQ10" t="str">
            <v>Last 7 days</v>
          </cell>
          <cell r="AT10" t="str">
            <v>SSP-x-x</v>
          </cell>
          <cell r="AW10"/>
          <cell r="AX10">
            <v>5</v>
          </cell>
          <cell r="BI10"/>
          <cell r="BJ10" t="str">
            <v>E-Mon CL3400 M</v>
          </cell>
          <cell r="BK10" t="str">
            <v>E-Mon CL5000</v>
          </cell>
          <cell r="BL10" t="e">
            <v>#REF!</v>
          </cell>
          <cell r="BM10" t="e">
            <v>#REF!</v>
          </cell>
          <cell r="CF10" t="e">
            <v>#REF!</v>
          </cell>
          <cell r="CP10"/>
          <cell r="CQ10"/>
          <cell r="CS10" t="str">
            <v>Jul</v>
          </cell>
          <cell r="CT10"/>
          <cell r="CV10"/>
          <cell r="CW10"/>
          <cell r="CX10" t="str">
            <v>1 hour</v>
          </cell>
        </row>
        <row r="11">
          <cell r="C11" t="str">
            <v>Pacific</v>
          </cell>
          <cell r="L11" t="str">
            <v>Houston</v>
          </cell>
          <cell r="W11"/>
          <cell r="AI11">
            <v>0.14583333333333301</v>
          </cell>
          <cell r="AJ11"/>
          <cell r="AM11" t="str">
            <v>Sunday</v>
          </cell>
          <cell r="AN11">
            <v>7</v>
          </cell>
          <cell r="AO11" t="str">
            <v>July</v>
          </cell>
          <cell r="AP11">
            <v>2025</v>
          </cell>
          <cell r="AT11"/>
          <cell r="AW11"/>
          <cell r="AX11">
            <v>6</v>
          </cell>
          <cell r="BI11"/>
          <cell r="BJ11" t="str">
            <v>E-Mon D-Mon PowerSmart+</v>
          </cell>
          <cell r="BK11" t="str">
            <v>Honeywell Din-Mon Smart Meter (BACnet)</v>
          </cell>
          <cell r="BL11" t="e">
            <v>#REF!</v>
          </cell>
          <cell r="BM11" t="e">
            <v>#REF!</v>
          </cell>
          <cell r="CF11" t="e">
            <v>#REF!</v>
          </cell>
          <cell r="CP11"/>
          <cell r="CQ11"/>
          <cell r="CS11" t="str">
            <v>Aug</v>
          </cell>
          <cell r="CT11"/>
          <cell r="CV11"/>
          <cell r="CW11"/>
        </row>
        <row r="12">
          <cell r="L12" t="str">
            <v>Los Angeles</v>
          </cell>
          <cell r="W12"/>
          <cell r="AI12">
            <v>0.16666666666666699</v>
          </cell>
          <cell r="AJ12"/>
          <cell r="AN12">
            <v>8</v>
          </cell>
          <cell r="AO12" t="str">
            <v>August</v>
          </cell>
          <cell r="AP12">
            <v>2026</v>
          </cell>
          <cell r="AT12"/>
          <cell r="AW12"/>
          <cell r="AX12">
            <v>7</v>
          </cell>
          <cell r="BI12"/>
          <cell r="BJ12" t="str">
            <v>Honyewell Din-Mon Smart Meter</v>
          </cell>
          <cell r="BK12" t="str">
            <v>Veris E50H2</v>
          </cell>
          <cell r="BL12" t="e">
            <v>#REF!</v>
          </cell>
          <cell r="BM12" t="e">
            <v>#REF!</v>
          </cell>
          <cell r="CF12" t="e">
            <v>#REF!</v>
          </cell>
          <cell r="CP12"/>
          <cell r="CQ12"/>
          <cell r="CS12" t="str">
            <v>Sep</v>
          </cell>
          <cell r="CT12"/>
          <cell r="CV12"/>
          <cell r="CW12"/>
        </row>
        <row r="13">
          <cell r="L13" t="str">
            <v>New South Wales</v>
          </cell>
          <cell r="W13"/>
          <cell r="AI13">
            <v>0.1875</v>
          </cell>
          <cell r="AJ13"/>
          <cell r="AN13">
            <v>9</v>
          </cell>
          <cell r="AO13" t="str">
            <v>September</v>
          </cell>
          <cell r="AP13">
            <v>2027</v>
          </cell>
          <cell r="AT13"/>
          <cell r="AW13"/>
          <cell r="AX13">
            <v>8</v>
          </cell>
          <cell r="BI13"/>
          <cell r="BJ13" t="str">
            <v>IME Nemo 72L (Type 1)</v>
          </cell>
          <cell r="BK13" t="str">
            <v>Veris H8150 w/ H8186-Cb module</v>
          </cell>
          <cell r="BL13" t="e">
            <v>#REF!</v>
          </cell>
          <cell r="BM13" t="e">
            <v>#REF!</v>
          </cell>
          <cell r="CF13" t="e">
            <v>#REF!</v>
          </cell>
          <cell r="CP13"/>
          <cell r="CQ13"/>
          <cell r="CS13" t="str">
            <v>Oct</v>
          </cell>
          <cell r="CT13"/>
          <cell r="CV13"/>
          <cell r="CW13"/>
        </row>
        <row r="14">
          <cell r="L14" t="str">
            <v>New York</v>
          </cell>
          <cell r="W14"/>
          <cell r="AI14">
            <v>0.20833333333333301</v>
          </cell>
          <cell r="AJ14"/>
          <cell r="AN14">
            <v>10</v>
          </cell>
          <cell r="AO14" t="str">
            <v>October</v>
          </cell>
          <cell r="AP14">
            <v>2028</v>
          </cell>
          <cell r="AT14"/>
          <cell r="AW14"/>
          <cell r="AX14">
            <v>9</v>
          </cell>
          <cell r="BI14"/>
          <cell r="BJ14" t="str">
            <v>IME Nemo 72L (Type 2)</v>
          </cell>
          <cell r="BL14" t="e">
            <v>#REF!</v>
          </cell>
          <cell r="BM14" t="e">
            <v>#REF!</v>
          </cell>
          <cell r="CF14" t="e">
            <v>#REF!</v>
          </cell>
          <cell r="CP14"/>
          <cell r="CQ14"/>
          <cell r="CS14" t="str">
            <v>Nov</v>
          </cell>
          <cell r="CT14"/>
          <cell r="CV14"/>
          <cell r="CW14"/>
        </row>
        <row r="15">
          <cell r="L15" t="str">
            <v>Northern Territory</v>
          </cell>
          <cell r="W15"/>
          <cell r="AI15">
            <v>0.22916666666666699</v>
          </cell>
          <cell r="AJ15"/>
          <cell r="AN15">
            <v>11</v>
          </cell>
          <cell r="AO15" t="str">
            <v>November</v>
          </cell>
          <cell r="AP15">
            <v>2029</v>
          </cell>
          <cell r="AT15"/>
          <cell r="AW15"/>
          <cell r="AX15">
            <v>10</v>
          </cell>
          <cell r="BI15"/>
          <cell r="BJ15" t="str">
            <v>IME Nemo 72L (Type 3)</v>
          </cell>
          <cell r="BL15" t="e">
            <v>#REF!</v>
          </cell>
          <cell r="BM15" t="e">
            <v>#REF!</v>
          </cell>
          <cell r="CF15" t="e">
            <v>#REF!</v>
          </cell>
          <cell r="CP15"/>
          <cell r="CQ15"/>
          <cell r="CS15" t="str">
            <v>Dec</v>
          </cell>
          <cell r="CT15"/>
          <cell r="CV15"/>
          <cell r="CW15"/>
        </row>
        <row r="16">
          <cell r="L16" t="str">
            <v>Phoenix</v>
          </cell>
          <cell r="W16"/>
          <cell r="AI16">
            <v>0.25</v>
          </cell>
          <cell r="AJ16"/>
          <cell r="AN16">
            <v>12</v>
          </cell>
          <cell r="AO16" t="str">
            <v>December</v>
          </cell>
          <cell r="AP16">
            <v>2030</v>
          </cell>
          <cell r="AT16"/>
          <cell r="AW16"/>
          <cell r="BI16"/>
          <cell r="BJ16" t="str">
            <v>IME Nemo 72L (Type 4)</v>
          </cell>
          <cell r="BL16" t="e">
            <v>#REF!</v>
          </cell>
          <cell r="BM16" t="e">
            <v>#REF!</v>
          </cell>
          <cell r="CF16" t="e">
            <v>#REF!</v>
          </cell>
          <cell r="CP16"/>
          <cell r="CQ16"/>
          <cell r="CT16"/>
          <cell r="CV16"/>
          <cell r="CW16"/>
        </row>
        <row r="17">
          <cell r="L17" t="str">
            <v>Queensland</v>
          </cell>
          <cell r="W17"/>
          <cell r="AI17">
            <v>0.27083333333333298</v>
          </cell>
          <cell r="AJ17"/>
          <cell r="AN17">
            <v>13</v>
          </cell>
          <cell r="AO17" t="str">
            <v>Odd months</v>
          </cell>
          <cell r="AP17">
            <v>2031</v>
          </cell>
          <cell r="AT17"/>
          <cell r="AW17"/>
          <cell r="BI17"/>
          <cell r="BJ17" t="str">
            <v>IME Nemo 96HD (Type 1)</v>
          </cell>
          <cell r="BL17" t="e">
            <v>#REF!</v>
          </cell>
          <cell r="BM17" t="e">
            <v>#REF!</v>
          </cell>
          <cell r="CF17" t="e">
            <v>#REF!</v>
          </cell>
          <cell r="CP17"/>
          <cell r="CQ17"/>
          <cell r="CT17"/>
          <cell r="CV17"/>
          <cell r="CW17"/>
        </row>
        <row r="18">
          <cell r="L18" t="str">
            <v>Shanghai</v>
          </cell>
          <cell r="W18"/>
          <cell r="AI18">
            <v>0.29166666666666702</v>
          </cell>
          <cell r="AJ18"/>
          <cell r="AN18">
            <v>14</v>
          </cell>
          <cell r="AO18" t="str">
            <v>Even months</v>
          </cell>
          <cell r="AP18">
            <v>2032</v>
          </cell>
          <cell r="AT18"/>
          <cell r="BI18"/>
          <cell r="BJ18" t="str">
            <v>IME Nemo 96HD (Type 2)</v>
          </cell>
          <cell r="BL18" t="e">
            <v>#REF!</v>
          </cell>
          <cell r="BM18" t="e">
            <v>#REF!</v>
          </cell>
          <cell r="CF18" t="e">
            <v>#REF!</v>
          </cell>
          <cell r="CP18"/>
          <cell r="CQ18"/>
          <cell r="CT18"/>
          <cell r="CV18"/>
          <cell r="CW18"/>
        </row>
        <row r="19">
          <cell r="L19" t="str">
            <v>Shenzhen</v>
          </cell>
          <cell r="W19"/>
          <cell r="AI19">
            <v>0.3125</v>
          </cell>
          <cell r="AJ19"/>
          <cell r="AN19">
            <v>15</v>
          </cell>
          <cell r="AP19">
            <v>2033</v>
          </cell>
          <cell r="AT19"/>
          <cell r="BI19"/>
          <cell r="BJ19" t="str">
            <v>IME Nemo 96HD (Type 3)</v>
          </cell>
          <cell r="BL19" t="e">
            <v>#REF!</v>
          </cell>
          <cell r="BM19" t="e">
            <v>#REF!</v>
          </cell>
          <cell r="CF19" t="e">
            <v>#REF!</v>
          </cell>
          <cell r="CP19"/>
          <cell r="CQ19"/>
          <cell r="CT19"/>
          <cell r="CV19"/>
          <cell r="CW19"/>
        </row>
        <row r="20">
          <cell r="L20" t="str">
            <v>Singapore</v>
          </cell>
          <cell r="W20"/>
          <cell r="AI20">
            <v>0.33333333333333298</v>
          </cell>
          <cell r="AJ20"/>
          <cell r="AN20">
            <v>16</v>
          </cell>
          <cell r="AP20">
            <v>2034</v>
          </cell>
          <cell r="AT20"/>
          <cell r="BI20"/>
          <cell r="BJ20" t="str">
            <v>IME Nemo 96HD (Type 4)</v>
          </cell>
          <cell r="BL20" t="e">
            <v>#REF!</v>
          </cell>
          <cell r="BM20" t="e">
            <v>#REF!</v>
          </cell>
          <cell r="CF20" t="e">
            <v>#REF!</v>
          </cell>
          <cell r="CP20"/>
          <cell r="CQ20"/>
          <cell r="CT20"/>
          <cell r="CV20"/>
          <cell r="CW20"/>
        </row>
        <row r="21">
          <cell r="L21" t="str">
            <v>South Australia</v>
          </cell>
          <cell r="W21"/>
          <cell r="AI21">
            <v>0.35416666666666702</v>
          </cell>
          <cell r="AJ21"/>
          <cell r="AN21">
            <v>17</v>
          </cell>
          <cell r="AP21">
            <v>2035</v>
          </cell>
          <cell r="AT21"/>
          <cell r="BI21"/>
          <cell r="BJ21" t="str">
            <v>IME Nemo 96HD (Type 5)</v>
          </cell>
          <cell r="BL21" t="e">
            <v>#REF!</v>
          </cell>
          <cell r="BM21" t="e">
            <v>#REF!</v>
          </cell>
          <cell r="CF21" t="e">
            <v>#REF!</v>
          </cell>
          <cell r="CP21"/>
          <cell r="CQ21"/>
          <cell r="CT21"/>
          <cell r="CV21"/>
          <cell r="CW21"/>
        </row>
        <row r="22">
          <cell r="L22" t="str">
            <v>Tasmania</v>
          </cell>
          <cell r="W22"/>
          <cell r="AI22">
            <v>0.375</v>
          </cell>
          <cell r="AJ22"/>
          <cell r="AN22">
            <v>18</v>
          </cell>
          <cell r="AP22">
            <v>2036</v>
          </cell>
          <cell r="AT22"/>
          <cell r="BI22"/>
          <cell r="BJ22" t="str">
            <v>Multi-Mon meter - 1-phase type</v>
          </cell>
          <cell r="BL22" t="e">
            <v>#REF!</v>
          </cell>
          <cell r="BM22" t="e">
            <v>#REF!</v>
          </cell>
          <cell r="CF22" t="e">
            <v>#REF!</v>
          </cell>
          <cell r="CP22"/>
          <cell r="CQ22"/>
          <cell r="CT22"/>
          <cell r="CV22"/>
          <cell r="CW22"/>
        </row>
        <row r="23">
          <cell r="L23" t="str">
            <v>Thessaloniki</v>
          </cell>
          <cell r="W23"/>
          <cell r="AI23">
            <v>0.39583333333333298</v>
          </cell>
          <cell r="AJ23"/>
          <cell r="AN23">
            <v>19</v>
          </cell>
          <cell r="AP23">
            <v>2037</v>
          </cell>
          <cell r="AT23"/>
          <cell r="BI23"/>
          <cell r="BJ23" t="str">
            <v>Multi-Mon meter - 3-phase type</v>
          </cell>
          <cell r="BL23" t="e">
            <v>#REF!</v>
          </cell>
          <cell r="BM23" t="e">
            <v>#REF!</v>
          </cell>
          <cell r="CF23" t="e">
            <v>#REF!</v>
          </cell>
          <cell r="CP23"/>
          <cell r="CQ23"/>
          <cell r="CT23"/>
          <cell r="CV23"/>
          <cell r="CW23"/>
        </row>
        <row r="24">
          <cell r="L24" t="str">
            <v>United Kingdom</v>
          </cell>
          <cell r="W24"/>
          <cell r="AI24">
            <v>0.41666666666666702</v>
          </cell>
          <cell r="AJ24"/>
          <cell r="AN24">
            <v>20</v>
          </cell>
          <cell r="AP24">
            <v>2038</v>
          </cell>
          <cell r="AT24"/>
          <cell r="BI24"/>
          <cell r="BJ24" t="str">
            <v>Pilot PMAC625</v>
          </cell>
          <cell r="BL24" t="e">
            <v>#REF!</v>
          </cell>
          <cell r="BM24" t="e">
            <v>#REF!</v>
          </cell>
          <cell r="CF24" t="e">
            <v>#REF!</v>
          </cell>
          <cell r="CP24"/>
          <cell r="CQ24"/>
          <cell r="CT24"/>
          <cell r="CV24"/>
          <cell r="CW24"/>
        </row>
        <row r="25">
          <cell r="L25" t="str">
            <v>United States of America</v>
          </cell>
          <cell r="W25"/>
          <cell r="AI25">
            <v>0.4375</v>
          </cell>
          <cell r="AJ25"/>
          <cell r="AN25">
            <v>21</v>
          </cell>
          <cell r="AP25">
            <v>2039</v>
          </cell>
          <cell r="AT25"/>
          <cell r="BI25"/>
          <cell r="BJ25" t="str">
            <v>Pilot PMAC735</v>
          </cell>
          <cell r="BL25" t="e">
            <v>#REF!</v>
          </cell>
          <cell r="BM25" t="e">
            <v>#REF!</v>
          </cell>
          <cell r="CF25" t="e">
            <v>#REF!</v>
          </cell>
          <cell r="CP25"/>
          <cell r="CQ25"/>
          <cell r="CT25"/>
          <cell r="CV25"/>
          <cell r="CW25"/>
        </row>
        <row r="26">
          <cell r="L26" t="str">
            <v>Victoria</v>
          </cell>
          <cell r="W26"/>
          <cell r="AI26">
            <v>0.45833333333333298</v>
          </cell>
          <cell r="AJ26"/>
          <cell r="AN26">
            <v>22</v>
          </cell>
          <cell r="AP26">
            <v>2040</v>
          </cell>
          <cell r="AT26"/>
          <cell r="BI26"/>
          <cell r="BJ26" t="str">
            <v>Pilot PMAC770</v>
          </cell>
          <cell r="BL26" t="e">
            <v>#REF!</v>
          </cell>
          <cell r="BM26" t="e">
            <v>#REF!</v>
          </cell>
          <cell r="CF26" t="e">
            <v>#REF!</v>
          </cell>
          <cell r="CP26"/>
          <cell r="CQ26"/>
          <cell r="CT26"/>
          <cell r="CV26"/>
          <cell r="CW26"/>
        </row>
        <row r="27">
          <cell r="L27" t="str">
            <v>Western Australia</v>
          </cell>
          <cell r="W27"/>
          <cell r="AI27">
            <v>0.47916666666666702</v>
          </cell>
          <cell r="AJ27"/>
          <cell r="AN27">
            <v>23</v>
          </cell>
          <cell r="AP27">
            <v>2041</v>
          </cell>
          <cell r="AT27"/>
          <cell r="BI27"/>
          <cell r="BJ27" t="str">
            <v>Pilot PMAC780H</v>
          </cell>
          <cell r="BL27" t="e">
            <v>#REF!</v>
          </cell>
          <cell r="BM27" t="e">
            <v>#REF!</v>
          </cell>
          <cell r="CF27" t="e">
            <v>#REF!</v>
          </cell>
          <cell r="CP27"/>
          <cell r="CQ27"/>
          <cell r="CT27"/>
          <cell r="CV27"/>
          <cell r="CW27"/>
        </row>
        <row r="28">
          <cell r="W28"/>
          <cell r="AI28">
            <v>0.5</v>
          </cell>
          <cell r="AJ28"/>
          <cell r="AN28">
            <v>24</v>
          </cell>
          <cell r="AP28">
            <v>2042</v>
          </cell>
          <cell r="AT28"/>
          <cell r="BI28"/>
          <cell r="BJ28" t="str">
            <v>Rayleigh RI-D140</v>
          </cell>
          <cell r="BL28" t="e">
            <v>#REF!</v>
          </cell>
          <cell r="BM28" t="e">
            <v>#REF!</v>
          </cell>
          <cell r="CF28" t="e">
            <v>#REF!</v>
          </cell>
          <cell r="CP28"/>
          <cell r="CQ28"/>
          <cell r="CT28"/>
          <cell r="CV28"/>
          <cell r="CW28"/>
        </row>
        <row r="29">
          <cell r="W29"/>
          <cell r="AI29">
            <v>0.52083333333333304</v>
          </cell>
          <cell r="AJ29"/>
          <cell r="AT29"/>
          <cell r="BI29"/>
          <cell r="BJ29" t="str">
            <v>Rayleigh RI-D440</v>
          </cell>
          <cell r="BL29" t="e">
            <v>#REF!</v>
          </cell>
          <cell r="BM29" t="e">
            <v>#REF!</v>
          </cell>
          <cell r="CF29" t="e">
            <v>#REF!</v>
          </cell>
          <cell r="CP29"/>
          <cell r="CQ29"/>
          <cell r="CT29"/>
          <cell r="CV29"/>
          <cell r="CW29"/>
        </row>
        <row r="30">
          <cell r="W30"/>
          <cell r="AI30">
            <v>0.54166666666666696</v>
          </cell>
          <cell r="AJ30"/>
          <cell r="AT30"/>
          <cell r="BI30"/>
          <cell r="BJ30" t="str">
            <v>Rayleigh RI-F300</v>
          </cell>
          <cell r="BL30"/>
          <cell r="BM30"/>
          <cell r="CF30" t="e">
            <v>#REF!</v>
          </cell>
          <cell r="CP30"/>
          <cell r="CQ30"/>
          <cell r="CT30"/>
          <cell r="CV30"/>
          <cell r="CW30"/>
        </row>
        <row r="31">
          <cell r="W31"/>
          <cell r="AI31">
            <v>0.5625</v>
          </cell>
          <cell r="AJ31"/>
          <cell r="AT31"/>
          <cell r="BI31"/>
          <cell r="BJ31" t="str">
            <v>Schneider Electric PM700 series</v>
          </cell>
          <cell r="CF31" t="e">
            <v>#REF!</v>
          </cell>
          <cell r="CP31"/>
          <cell r="CQ31"/>
          <cell r="CT31"/>
          <cell r="CV31"/>
          <cell r="CW31"/>
        </row>
        <row r="32">
          <cell r="W32"/>
          <cell r="AI32">
            <v>0.58333333333333304</v>
          </cell>
          <cell r="AJ32"/>
          <cell r="AT32"/>
          <cell r="BI32"/>
          <cell r="BJ32" t="str">
            <v>Schneider IEM3255</v>
          </cell>
          <cell r="CF32" t="e">
            <v>#REF!</v>
          </cell>
          <cell r="CP32"/>
          <cell r="CQ32"/>
          <cell r="CT32"/>
          <cell r="CV32"/>
          <cell r="CW32"/>
        </row>
        <row r="33">
          <cell r="W33"/>
          <cell r="AI33">
            <v>0.60416666666666696</v>
          </cell>
          <cell r="AJ33"/>
          <cell r="AT33"/>
          <cell r="BI33"/>
          <cell r="BJ33" t="str">
            <v>Schneider PM5350</v>
          </cell>
          <cell r="CF33" t="e">
            <v>#REF!</v>
          </cell>
          <cell r="CP33"/>
          <cell r="CQ33"/>
          <cell r="CT33"/>
          <cell r="CV33"/>
        </row>
        <row r="34">
          <cell r="W34"/>
          <cell r="AI34">
            <v>0.625</v>
          </cell>
          <cell r="AJ34"/>
          <cell r="AT34"/>
          <cell r="BI34"/>
          <cell r="BJ34" t="str">
            <v>Siemens Sentron PAC3200</v>
          </cell>
          <cell r="CF34" t="e">
            <v>#REF!</v>
          </cell>
          <cell r="CP34"/>
          <cell r="CQ34"/>
          <cell r="CT34"/>
          <cell r="CV34"/>
        </row>
        <row r="35">
          <cell r="W35"/>
          <cell r="AI35">
            <v>0.64583333333333304</v>
          </cell>
          <cell r="AJ35"/>
          <cell r="AT35"/>
          <cell r="BI35"/>
          <cell r="BJ35" t="str">
            <v>Smartrail X100</v>
          </cell>
          <cell r="CF35" t="e">
            <v>#REF!</v>
          </cell>
          <cell r="CP35"/>
          <cell r="CQ35"/>
          <cell r="CT35"/>
          <cell r="CV35"/>
        </row>
        <row r="36">
          <cell r="W36"/>
          <cell r="AI36">
            <v>0.66666666666666696</v>
          </cell>
          <cell r="AJ36"/>
          <cell r="AT36"/>
          <cell r="BI36"/>
          <cell r="BJ36" t="str">
            <v>Socomec Diris A40</v>
          </cell>
          <cell r="CF36" t="e">
            <v>#REF!</v>
          </cell>
          <cell r="CP36"/>
          <cell r="CT36"/>
          <cell r="CV36"/>
        </row>
        <row r="37">
          <cell r="W37"/>
          <cell r="AI37">
            <v>0.6875</v>
          </cell>
          <cell r="AJ37"/>
          <cell r="AT37"/>
          <cell r="BI37"/>
          <cell r="CF37" t="e">
            <v>#REF!</v>
          </cell>
          <cell r="CP37"/>
          <cell r="CT37"/>
          <cell r="CV37"/>
        </row>
        <row r="38">
          <cell r="W38"/>
          <cell r="AI38">
            <v>0.70833333333333304</v>
          </cell>
          <cell r="AJ38"/>
          <cell r="AT38"/>
          <cell r="BI38"/>
          <cell r="CF38" t="e">
            <v>#REF!</v>
          </cell>
          <cell r="CP38"/>
          <cell r="CT38"/>
          <cell r="CV38"/>
        </row>
        <row r="39">
          <cell r="W39"/>
          <cell r="AI39">
            <v>0.72916666666666696</v>
          </cell>
          <cell r="AJ39"/>
          <cell r="AT39"/>
          <cell r="CF39" t="e">
            <v>#REF!</v>
          </cell>
          <cell r="CP39"/>
          <cell r="CT39"/>
          <cell r="CV39"/>
        </row>
        <row r="40">
          <cell r="W40"/>
          <cell r="AI40">
            <v>0.75</v>
          </cell>
          <cell r="AJ40"/>
          <cell r="AT40"/>
          <cell r="CF40" t="e">
            <v>#REF!</v>
          </cell>
          <cell r="CP40"/>
          <cell r="CT40"/>
          <cell r="CV40"/>
        </row>
        <row r="41">
          <cell r="W41"/>
          <cell r="AI41">
            <v>0.77083333333333304</v>
          </cell>
          <cell r="AJ41"/>
          <cell r="AT41"/>
          <cell r="CF41" t="e">
            <v>#REF!</v>
          </cell>
          <cell r="CP41"/>
          <cell r="CT41"/>
          <cell r="CV41"/>
        </row>
        <row r="42">
          <cell r="W42"/>
          <cell r="AI42">
            <v>0.79166666666666696</v>
          </cell>
          <cell r="AJ42"/>
          <cell r="AT42"/>
          <cell r="CF42" t="e">
            <v>#REF!</v>
          </cell>
          <cell r="CP42"/>
          <cell r="CT42"/>
          <cell r="CV42"/>
        </row>
        <row r="43">
          <cell r="W43"/>
          <cell r="AI43">
            <v>0.8125</v>
          </cell>
          <cell r="AJ43"/>
          <cell r="AT43"/>
          <cell r="CF43" t="e">
            <v>#REF!</v>
          </cell>
          <cell r="CP43"/>
          <cell r="CT43"/>
          <cell r="CV43"/>
        </row>
        <row r="44">
          <cell r="W44"/>
          <cell r="AI44">
            <v>0.83333333333333304</v>
          </cell>
          <cell r="AJ44"/>
          <cell r="AT44"/>
          <cell r="CF44" t="e">
            <v>#REF!</v>
          </cell>
          <cell r="CP44"/>
          <cell r="CT44"/>
          <cell r="CV44"/>
        </row>
        <row r="45">
          <cell r="W45"/>
          <cell r="AI45">
            <v>0.85416666666666696</v>
          </cell>
          <cell r="AJ45"/>
          <cell r="AT45"/>
          <cell r="CF45" t="e">
            <v>#REF!</v>
          </cell>
          <cell r="CP45"/>
          <cell r="CT45"/>
          <cell r="CV45"/>
        </row>
        <row r="46">
          <cell r="W46"/>
          <cell r="AI46">
            <v>0.875</v>
          </cell>
          <cell r="AJ46"/>
          <cell r="AT46"/>
          <cell r="CF46" t="e">
            <v>#REF!</v>
          </cell>
          <cell r="CP46"/>
          <cell r="CT46"/>
          <cell r="CV46"/>
        </row>
        <row r="47">
          <cell r="W47"/>
          <cell r="AI47">
            <v>0.89583333333333304</v>
          </cell>
          <cell r="AJ47"/>
          <cell r="AT47"/>
          <cell r="CF47" t="e">
            <v>#REF!</v>
          </cell>
          <cell r="CP47"/>
          <cell r="CT47"/>
          <cell r="CV47"/>
        </row>
        <row r="48">
          <cell r="W48"/>
          <cell r="AI48">
            <v>0.91666666666666696</v>
          </cell>
          <cell r="AJ48"/>
          <cell r="AT48"/>
          <cell r="CF48" t="e">
            <v>#REF!</v>
          </cell>
          <cell r="CP48"/>
          <cell r="CT48"/>
          <cell r="CV48"/>
        </row>
        <row r="49">
          <cell r="W49"/>
          <cell r="AI49">
            <v>0.9375</v>
          </cell>
          <cell r="AJ49"/>
          <cell r="AT49"/>
          <cell r="CF49" t="e">
            <v>#REF!</v>
          </cell>
          <cell r="CP49"/>
          <cell r="CT49"/>
          <cell r="CV49"/>
        </row>
        <row r="50">
          <cell r="W50"/>
          <cell r="AI50">
            <v>0.95833333333333304</v>
          </cell>
          <cell r="AJ50"/>
          <cell r="AT50"/>
          <cell r="CF50" t="e">
            <v>#REF!</v>
          </cell>
          <cell r="CP50"/>
          <cell r="CT50"/>
          <cell r="CV50"/>
        </row>
        <row r="51">
          <cell r="W51"/>
          <cell r="AI51">
            <v>0.97916666666666696</v>
          </cell>
          <cell r="AJ51"/>
          <cell r="AT51"/>
          <cell r="CF51" t="e">
            <v>#REF!</v>
          </cell>
          <cell r="CP51"/>
          <cell r="CT51"/>
          <cell r="CV51"/>
        </row>
        <row r="52">
          <cell r="W52"/>
          <cell r="AJ52"/>
          <cell r="AT52"/>
          <cell r="CF52" t="e">
            <v>#REF!</v>
          </cell>
          <cell r="CP52"/>
          <cell r="CT52"/>
          <cell r="CV52"/>
        </row>
        <row r="53">
          <cell r="W53"/>
          <cell r="AJ53"/>
          <cell r="AT53"/>
          <cell r="CF53" t="e">
            <v>#REF!</v>
          </cell>
          <cell r="CP53"/>
          <cell r="CT53"/>
          <cell r="CV53"/>
        </row>
        <row r="54">
          <cell r="W54"/>
          <cell r="AJ54"/>
          <cell r="AT54"/>
          <cell r="CF54" t="e">
            <v>#REF!</v>
          </cell>
          <cell r="CP54"/>
          <cell r="CT54"/>
          <cell r="CV54"/>
        </row>
        <row r="55">
          <cell r="W55"/>
          <cell r="AJ55"/>
          <cell r="AT55"/>
          <cell r="CF55" t="e">
            <v>#REF!</v>
          </cell>
          <cell r="CP55"/>
          <cell r="CT55"/>
          <cell r="CV55"/>
        </row>
        <row r="56">
          <cell r="W56"/>
          <cell r="AJ56"/>
          <cell r="AT56"/>
          <cell r="CF56" t="e">
            <v>#REF!</v>
          </cell>
          <cell r="CP56"/>
          <cell r="CT56"/>
          <cell r="CV56"/>
        </row>
        <row r="57">
          <cell r="W57"/>
          <cell r="AT57"/>
          <cell r="CF57" t="e">
            <v>#REF!</v>
          </cell>
          <cell r="CP57"/>
          <cell r="CT57"/>
          <cell r="CV57"/>
        </row>
        <row r="58">
          <cell r="W58"/>
          <cell r="AT58"/>
          <cell r="CF58" t="str">
            <v>L15-E-Electric</v>
          </cell>
          <cell r="CP58"/>
          <cell r="CT58"/>
          <cell r="CV58"/>
        </row>
        <row r="59">
          <cell r="W59"/>
          <cell r="AT59"/>
          <cell r="CF59" t="str">
            <v>L15-W-Electric</v>
          </cell>
          <cell r="CP59"/>
          <cell r="CT59"/>
          <cell r="CV59"/>
        </row>
        <row r="60">
          <cell r="W60"/>
          <cell r="AT60"/>
          <cell r="CF60" t="str">
            <v>L16-E-Electric</v>
          </cell>
          <cell r="CP60"/>
          <cell r="CT60"/>
          <cell r="CV60"/>
        </row>
        <row r="61">
          <cell r="W61"/>
          <cell r="AT61"/>
          <cell r="CF61" t="str">
            <v>L16-W-Electric</v>
          </cell>
          <cell r="CP61"/>
          <cell r="CT61"/>
          <cell r="CV61"/>
        </row>
        <row r="62">
          <cell r="W62"/>
          <cell r="AT62"/>
          <cell r="CF62" t="str">
            <v>L17-E-Electric</v>
          </cell>
          <cell r="CP62"/>
          <cell r="CT62"/>
          <cell r="CV62"/>
        </row>
        <row r="63">
          <cell r="W63"/>
          <cell r="AT63"/>
          <cell r="CF63" t="str">
            <v>L17-W-Electric</v>
          </cell>
          <cell r="CP63"/>
          <cell r="CT63"/>
          <cell r="CV63"/>
        </row>
        <row r="64">
          <cell r="W64"/>
          <cell r="AT64"/>
          <cell r="CF64" t="str">
            <v>L18-E-Electric</v>
          </cell>
          <cell r="CP64"/>
          <cell r="CT64"/>
          <cell r="CV64"/>
        </row>
        <row r="65">
          <cell r="W65"/>
          <cell r="AT65"/>
          <cell r="CF65" t="str">
            <v>L18-W-Electric</v>
          </cell>
          <cell r="CP65"/>
          <cell r="CT65"/>
          <cell r="CV65"/>
        </row>
        <row r="66">
          <cell r="W66"/>
          <cell r="AT66"/>
          <cell r="CF66"/>
          <cell r="CP66"/>
          <cell r="CT66"/>
          <cell r="CV66"/>
        </row>
        <row r="67">
          <cell r="W67"/>
          <cell r="AT67"/>
          <cell r="CF67"/>
          <cell r="CP67"/>
          <cell r="CT67"/>
          <cell r="CV67"/>
        </row>
        <row r="68">
          <cell r="W68"/>
          <cell r="AT68"/>
          <cell r="CF68"/>
          <cell r="CP68"/>
          <cell r="CT68"/>
          <cell r="CV68"/>
        </row>
        <row r="69">
          <cell r="W69"/>
          <cell r="AT69"/>
          <cell r="CF69"/>
          <cell r="CP69"/>
          <cell r="CT69"/>
          <cell r="CV69"/>
        </row>
        <row r="70">
          <cell r="W70"/>
          <cell r="AT70"/>
          <cell r="CF70"/>
          <cell r="CP70"/>
          <cell r="CT70"/>
          <cell r="CV70"/>
        </row>
        <row r="71">
          <cell r="W71"/>
          <cell r="AT71"/>
          <cell r="CF71"/>
          <cell r="CP71"/>
          <cell r="CT71"/>
          <cell r="CV71"/>
        </row>
        <row r="72">
          <cell r="W72"/>
          <cell r="AT72"/>
          <cell r="CF72"/>
          <cell r="CP72"/>
          <cell r="CT72"/>
          <cell r="CV72"/>
        </row>
        <row r="73">
          <cell r="W73"/>
          <cell r="AT73"/>
          <cell r="CF73"/>
          <cell r="CP73"/>
          <cell r="CT73"/>
          <cell r="CV73"/>
        </row>
        <row r="74">
          <cell r="W74"/>
          <cell r="AT74"/>
          <cell r="CF74"/>
          <cell r="CP74"/>
          <cell r="CT74"/>
          <cell r="CV74"/>
        </row>
        <row r="75">
          <cell r="W75"/>
          <cell r="AT75"/>
          <cell r="CF75"/>
          <cell r="CP75"/>
          <cell r="CT75"/>
          <cell r="CV75"/>
        </row>
        <row r="76">
          <cell r="W76"/>
          <cell r="AT76"/>
          <cell r="CF76"/>
          <cell r="CP76"/>
          <cell r="CT76"/>
          <cell r="CV76"/>
        </row>
        <row r="77">
          <cell r="W77"/>
          <cell r="AT77"/>
          <cell r="CF77"/>
          <cell r="CP77"/>
          <cell r="CT77"/>
          <cell r="CV77"/>
        </row>
        <row r="78">
          <cell r="W78"/>
          <cell r="AT78"/>
          <cell r="CF78"/>
          <cell r="CP78"/>
          <cell r="CT78"/>
          <cell r="CV78"/>
        </row>
        <row r="79">
          <cell r="W79"/>
          <cell r="AT79"/>
          <cell r="CF79"/>
          <cell r="CP79"/>
          <cell r="CT79"/>
          <cell r="CV79"/>
        </row>
        <row r="80">
          <cell r="W80"/>
          <cell r="AT80"/>
          <cell r="CF80"/>
          <cell r="CP80"/>
          <cell r="CT80"/>
          <cell r="CV80"/>
        </row>
        <row r="81">
          <cell r="W81"/>
          <cell r="AT81"/>
          <cell r="CF81"/>
          <cell r="CP81"/>
          <cell r="CT81"/>
          <cell r="CV81"/>
        </row>
        <row r="82">
          <cell r="W82"/>
          <cell r="AT82"/>
          <cell r="CF82"/>
          <cell r="CP82"/>
          <cell r="CT82"/>
          <cell r="CV82"/>
        </row>
        <row r="83">
          <cell r="W83"/>
          <cell r="AT83"/>
          <cell r="CF83"/>
          <cell r="CP83"/>
          <cell r="CT83"/>
          <cell r="CV83"/>
        </row>
        <row r="84">
          <cell r="W84"/>
          <cell r="AT84"/>
          <cell r="CF84"/>
          <cell r="CP84"/>
          <cell r="CT84"/>
          <cell r="CV84"/>
        </row>
        <row r="85">
          <cell r="W85"/>
          <cell r="AT85"/>
          <cell r="CF85"/>
          <cell r="CP85"/>
          <cell r="CT85"/>
          <cell r="CV85"/>
        </row>
        <row r="86">
          <cell r="W86"/>
          <cell r="AT86"/>
          <cell r="CF86"/>
          <cell r="CP86"/>
          <cell r="CT86"/>
          <cell r="CV86"/>
        </row>
        <row r="87">
          <cell r="W87"/>
          <cell r="AT87"/>
          <cell r="CF87"/>
          <cell r="CP87"/>
          <cell r="CT87"/>
          <cell r="CV87"/>
        </row>
        <row r="88">
          <cell r="W88"/>
          <cell r="AT88"/>
          <cell r="CF88"/>
          <cell r="CP88"/>
          <cell r="CT88"/>
          <cell r="CV88"/>
        </row>
        <row r="89">
          <cell r="W89"/>
          <cell r="AT89"/>
          <cell r="CF89"/>
          <cell r="CP89"/>
          <cell r="CT89"/>
          <cell r="CV89"/>
        </row>
        <row r="90">
          <cell r="W90"/>
          <cell r="AT90"/>
          <cell r="CF90"/>
          <cell r="CP90"/>
          <cell r="CT90"/>
          <cell r="CV90"/>
        </row>
        <row r="91">
          <cell r="W91"/>
          <cell r="AT91"/>
          <cell r="CF91"/>
          <cell r="CP91"/>
          <cell r="CT91"/>
          <cell r="CV91"/>
        </row>
        <row r="92">
          <cell r="W92"/>
          <cell r="AT92"/>
          <cell r="CF92"/>
          <cell r="CP92"/>
          <cell r="CT92"/>
          <cell r="CV92"/>
        </row>
        <row r="93">
          <cell r="W93"/>
          <cell r="AT93"/>
          <cell r="CF93"/>
          <cell r="CP93"/>
          <cell r="CT93"/>
          <cell r="CV93"/>
        </row>
        <row r="94">
          <cell r="W94"/>
          <cell r="AT94"/>
          <cell r="CF94"/>
          <cell r="CP94"/>
          <cell r="CT94"/>
          <cell r="CV94"/>
        </row>
        <row r="95">
          <cell r="W95"/>
          <cell r="AT95"/>
          <cell r="CF95"/>
          <cell r="CP95"/>
          <cell r="CT95"/>
          <cell r="CV95"/>
        </row>
        <row r="96">
          <cell r="W96"/>
          <cell r="AT96"/>
          <cell r="CF96"/>
          <cell r="CP96"/>
          <cell r="CT96"/>
          <cell r="CV96"/>
        </row>
        <row r="97">
          <cell r="W97"/>
          <cell r="AT97"/>
          <cell r="CF97"/>
          <cell r="CP97"/>
          <cell r="CT97"/>
          <cell r="CV97"/>
        </row>
        <row r="98">
          <cell r="W98"/>
          <cell r="AT98"/>
          <cell r="CF98"/>
          <cell r="CP98"/>
          <cell r="CT98"/>
          <cell r="CV98"/>
        </row>
        <row r="99">
          <cell r="W99"/>
          <cell r="AT99"/>
          <cell r="CF99"/>
          <cell r="CP99"/>
          <cell r="CT99"/>
          <cell r="CV99"/>
        </row>
        <row r="100">
          <cell r="W100"/>
          <cell r="AT100"/>
          <cell r="CF100" t="str">
            <v>L1-E-Electric</v>
          </cell>
          <cell r="CP100"/>
          <cell r="CT100"/>
          <cell r="CV100"/>
        </row>
        <row r="101">
          <cell r="W101"/>
          <cell r="AT101"/>
          <cell r="CF101" t="str">
            <v>L1-W-Electric</v>
          </cell>
          <cell r="CP101"/>
          <cell r="CT101"/>
          <cell r="CV101"/>
        </row>
        <row r="102">
          <cell r="W102"/>
          <cell r="AT102"/>
          <cell r="CF102" t="str">
            <v>L2-E-Electric</v>
          </cell>
          <cell r="CP102"/>
          <cell r="CT102"/>
          <cell r="CV102"/>
        </row>
        <row r="103">
          <cell r="W103"/>
          <cell r="AT103"/>
          <cell r="CF103" t="str">
            <v>L2-W-Electric</v>
          </cell>
          <cell r="CP103"/>
          <cell r="CT103"/>
          <cell r="CV103"/>
        </row>
        <row r="104">
          <cell r="W104"/>
          <cell r="AT104"/>
          <cell r="CF104" t="str">
            <v>L3-E-Electric</v>
          </cell>
          <cell r="CP104"/>
          <cell r="CT104"/>
          <cell r="CV104"/>
        </row>
        <row r="105">
          <cell r="W105"/>
          <cell r="AT105"/>
          <cell r="CF105" t="str">
            <v>L3-W-Electric</v>
          </cell>
          <cell r="CP105"/>
          <cell r="CT105"/>
          <cell r="CV105"/>
        </row>
        <row r="106">
          <cell r="W106"/>
          <cell r="AT106"/>
          <cell r="CF106" t="str">
            <v>L4-E-Electric</v>
          </cell>
          <cell r="CP106"/>
          <cell r="CT106"/>
          <cell r="CV106"/>
        </row>
        <row r="107">
          <cell r="W107"/>
          <cell r="AT107"/>
          <cell r="CF107" t="str">
            <v>L4-W-Electric</v>
          </cell>
          <cell r="CP107"/>
          <cell r="CT107"/>
          <cell r="CV107"/>
        </row>
        <row r="108">
          <cell r="W108"/>
          <cell r="AT108"/>
          <cell r="CF108" t="str">
            <v>L5-E-Electric</v>
          </cell>
          <cell r="CP108"/>
          <cell r="CT108"/>
          <cell r="CV108"/>
        </row>
        <row r="109">
          <cell r="W109"/>
          <cell r="AT109"/>
          <cell r="CF109" t="str">
            <v>L5-W-Electric</v>
          </cell>
          <cell r="CP109"/>
          <cell r="CT109"/>
          <cell r="CV109"/>
        </row>
        <row r="110">
          <cell r="W110"/>
          <cell r="AT110"/>
          <cell r="CF110" t="str">
            <v>L6-E-Electric</v>
          </cell>
          <cell r="CP110"/>
          <cell r="CT110"/>
          <cell r="CV110"/>
        </row>
        <row r="111">
          <cell r="W111"/>
          <cell r="AT111"/>
          <cell r="CF111" t="str">
            <v>L6-W-Electric</v>
          </cell>
          <cell r="CP111"/>
          <cell r="CT111"/>
          <cell r="CV111"/>
        </row>
        <row r="112">
          <cell r="W112"/>
          <cell r="AT112"/>
          <cell r="CF112" t="str">
            <v>L7-E-Electric</v>
          </cell>
          <cell r="CP112"/>
          <cell r="CT112"/>
          <cell r="CV112"/>
        </row>
        <row r="113">
          <cell r="W113"/>
          <cell r="AT113"/>
          <cell r="CF113" t="str">
            <v>L7-W-Electric</v>
          </cell>
          <cell r="CP113"/>
          <cell r="CT113"/>
          <cell r="CV113"/>
        </row>
        <row r="114">
          <cell r="W114"/>
          <cell r="AT114"/>
          <cell r="CF114" t="str">
            <v>L8-E-Electric</v>
          </cell>
          <cell r="CP114"/>
          <cell r="CT114"/>
          <cell r="CV114"/>
        </row>
        <row r="115">
          <cell r="W115"/>
          <cell r="AT115"/>
          <cell r="CF115" t="str">
            <v>L8-W-Electric</v>
          </cell>
          <cell r="CP115"/>
          <cell r="CT115"/>
          <cell r="CV115"/>
        </row>
        <row r="116">
          <cell r="W116"/>
          <cell r="AT116"/>
          <cell r="CF116" t="str">
            <v>L9-E-Electric</v>
          </cell>
          <cell r="CP116"/>
          <cell r="CT116"/>
          <cell r="CV116"/>
        </row>
        <row r="117">
          <cell r="W117"/>
          <cell r="AT117"/>
          <cell r="CF117" t="str">
            <v>L9-W-Electric</v>
          </cell>
          <cell r="CP117"/>
          <cell r="CT117"/>
          <cell r="CV117"/>
        </row>
        <row r="118">
          <cell r="W118"/>
          <cell r="AT118"/>
          <cell r="CF118" t="str">
            <v>L10-E-Electric</v>
          </cell>
          <cell r="CP118"/>
          <cell r="CT118"/>
          <cell r="CV118"/>
        </row>
        <row r="119">
          <cell r="W119"/>
          <cell r="AT119"/>
          <cell r="CF119" t="str">
            <v>L10-W-Electric</v>
          </cell>
          <cell r="CP119"/>
          <cell r="CT119"/>
          <cell r="CV119"/>
        </row>
        <row r="120">
          <cell r="W120"/>
          <cell r="AT120"/>
          <cell r="CF120" t="str">
            <v>L11-E-Electric</v>
          </cell>
          <cell r="CP120"/>
          <cell r="CT120"/>
          <cell r="CV120"/>
        </row>
        <row r="121">
          <cell r="W121"/>
          <cell r="AT121"/>
          <cell r="CF121" t="str">
            <v>L11-W-Electric</v>
          </cell>
          <cell r="CP121"/>
          <cell r="CT121"/>
          <cell r="CV121"/>
        </row>
        <row r="122">
          <cell r="W122"/>
          <cell r="AT122"/>
          <cell r="CF122" t="str">
            <v>L12-E-Electric</v>
          </cell>
          <cell r="CP122"/>
          <cell r="CT122"/>
          <cell r="CV122"/>
        </row>
        <row r="123">
          <cell r="W123"/>
          <cell r="AT123"/>
          <cell r="CF123" t="str">
            <v>L12-W-Electric</v>
          </cell>
          <cell r="CP123"/>
          <cell r="CT123"/>
          <cell r="CV123"/>
        </row>
        <row r="124">
          <cell r="W124"/>
          <cell r="AT124"/>
          <cell r="CF124" t="str">
            <v>L13-E-Electric</v>
          </cell>
          <cell r="CP124"/>
          <cell r="CT124"/>
          <cell r="CV124"/>
        </row>
        <row r="125">
          <cell r="W125"/>
          <cell r="AT125"/>
          <cell r="CF125" t="str">
            <v>L13-W-Electric</v>
          </cell>
          <cell r="CP125"/>
          <cell r="CT125"/>
          <cell r="CV125"/>
        </row>
        <row r="126">
          <cell r="W126"/>
          <cell r="AT126"/>
          <cell r="CF126" t="str">
            <v>L14-E-Electric</v>
          </cell>
          <cell r="CP126"/>
          <cell r="CT126"/>
          <cell r="CV126"/>
        </row>
        <row r="127">
          <cell r="W127"/>
          <cell r="AT127"/>
          <cell r="CF127" t="str">
            <v>L14-W-Electric</v>
          </cell>
          <cell r="CP127"/>
          <cell r="CT127"/>
          <cell r="CV127"/>
        </row>
        <row r="128">
          <cell r="W128"/>
          <cell r="AT128"/>
          <cell r="CF128"/>
          <cell r="CP128"/>
          <cell r="CT128"/>
          <cell r="CV128"/>
        </row>
        <row r="129">
          <cell r="W129"/>
          <cell r="AT129"/>
          <cell r="CF129"/>
          <cell r="CP129"/>
          <cell r="CT129"/>
          <cell r="CV129"/>
        </row>
        <row r="130">
          <cell r="W130"/>
          <cell r="AT130"/>
          <cell r="CF130"/>
          <cell r="CP130"/>
          <cell r="CT130"/>
          <cell r="CV130"/>
        </row>
        <row r="131">
          <cell r="W131"/>
          <cell r="AT131"/>
          <cell r="CF131"/>
          <cell r="CP131"/>
          <cell r="CT131"/>
          <cell r="CV131"/>
        </row>
        <row r="132">
          <cell r="W132"/>
          <cell r="AT132"/>
          <cell r="CF132"/>
          <cell r="CP132"/>
          <cell r="CT132"/>
          <cell r="CV132"/>
        </row>
        <row r="133">
          <cell r="W133"/>
          <cell r="AT133"/>
          <cell r="CF133"/>
          <cell r="CP133"/>
          <cell r="CT133"/>
          <cell r="CV133"/>
        </row>
        <row r="134">
          <cell r="W134"/>
          <cell r="AT134"/>
          <cell r="CF134"/>
          <cell r="CP134"/>
          <cell r="CT134"/>
          <cell r="CV134"/>
        </row>
        <row r="135">
          <cell r="W135"/>
          <cell r="AT135"/>
          <cell r="CF135"/>
          <cell r="CP135"/>
          <cell r="CT135"/>
          <cell r="CV135"/>
        </row>
        <row r="136">
          <cell r="W136"/>
          <cell r="AT136"/>
          <cell r="CF136"/>
          <cell r="CP136"/>
          <cell r="CT136"/>
          <cell r="CV136"/>
        </row>
        <row r="137">
          <cell r="W137"/>
          <cell r="AT137"/>
          <cell r="CF137"/>
          <cell r="CP137"/>
          <cell r="CT137"/>
          <cell r="CV137"/>
        </row>
        <row r="138">
          <cell r="W138"/>
          <cell r="AT138"/>
          <cell r="CF138"/>
          <cell r="CP138"/>
          <cell r="CT138"/>
          <cell r="CV138"/>
        </row>
        <row r="139">
          <cell r="W139"/>
          <cell r="AT139"/>
          <cell r="CF139"/>
          <cell r="CP139"/>
          <cell r="CT139"/>
          <cell r="CV139"/>
        </row>
        <row r="140">
          <cell r="W140"/>
          <cell r="AT140"/>
          <cell r="CF140"/>
          <cell r="CP140"/>
          <cell r="CT140"/>
          <cell r="CV140"/>
        </row>
        <row r="141">
          <cell r="W141"/>
          <cell r="AT141"/>
          <cell r="CF141"/>
          <cell r="CP141"/>
          <cell r="CT141"/>
          <cell r="CV141"/>
        </row>
        <row r="142">
          <cell r="W142"/>
          <cell r="AT142"/>
          <cell r="CF142"/>
          <cell r="CP142"/>
          <cell r="CT142"/>
          <cell r="CV142"/>
        </row>
        <row r="143">
          <cell r="W143"/>
          <cell r="AT143"/>
          <cell r="CF143"/>
          <cell r="CP143"/>
          <cell r="CT143"/>
          <cell r="CV143"/>
        </row>
        <row r="144">
          <cell r="W144"/>
          <cell r="AT144"/>
          <cell r="CF144"/>
          <cell r="CP144"/>
          <cell r="CT144"/>
          <cell r="CV144"/>
        </row>
        <row r="145">
          <cell r="W145"/>
          <cell r="AT145"/>
          <cell r="CF145"/>
          <cell r="CP145"/>
          <cell r="CT145"/>
          <cell r="CV145"/>
        </row>
        <row r="146">
          <cell r="W146"/>
          <cell r="AT146"/>
          <cell r="CF146"/>
          <cell r="CP146"/>
          <cell r="CT146"/>
          <cell r="CV146"/>
        </row>
        <row r="147">
          <cell r="W147"/>
          <cell r="AT147"/>
          <cell r="CF147"/>
          <cell r="CP147"/>
          <cell r="CT147"/>
          <cell r="CV147"/>
        </row>
        <row r="148">
          <cell r="W148"/>
          <cell r="AT148"/>
          <cell r="CF148"/>
          <cell r="CP148"/>
          <cell r="CT148"/>
          <cell r="CV148"/>
        </row>
        <row r="149">
          <cell r="W149"/>
          <cell r="AT149"/>
          <cell r="CF149"/>
          <cell r="CP149"/>
          <cell r="CT149"/>
          <cell r="CV149"/>
        </row>
        <row r="150">
          <cell r="W150"/>
          <cell r="AT150"/>
          <cell r="CF150"/>
          <cell r="CP150"/>
          <cell r="CT150"/>
          <cell r="CV150"/>
        </row>
        <row r="151">
          <cell r="W151"/>
          <cell r="AT151"/>
          <cell r="CF151"/>
          <cell r="CP151"/>
          <cell r="CT151"/>
          <cell r="CV151"/>
        </row>
        <row r="152">
          <cell r="W152"/>
          <cell r="AT152"/>
          <cell r="CF152"/>
          <cell r="CP152"/>
          <cell r="CT152"/>
          <cell r="CV152"/>
        </row>
        <row r="153">
          <cell r="W153"/>
          <cell r="AT153"/>
          <cell r="CF153"/>
          <cell r="CP153"/>
          <cell r="CT153"/>
          <cell r="CV153"/>
        </row>
        <row r="154">
          <cell r="W154"/>
          <cell r="AT154"/>
          <cell r="CF154"/>
          <cell r="CP154"/>
          <cell r="CT154"/>
          <cell r="CV154"/>
        </row>
        <row r="155">
          <cell r="W155"/>
          <cell r="AT155"/>
          <cell r="CF155"/>
          <cell r="CP155"/>
          <cell r="CT155"/>
          <cell r="CV155"/>
        </row>
        <row r="156">
          <cell r="W156"/>
          <cell r="AT156"/>
          <cell r="CF156"/>
          <cell r="CP156"/>
          <cell r="CT156"/>
          <cell r="CV156"/>
        </row>
        <row r="157">
          <cell r="W157"/>
          <cell r="AT157"/>
          <cell r="CF157"/>
          <cell r="CP157"/>
          <cell r="CT157"/>
          <cell r="CV157"/>
        </row>
        <row r="158">
          <cell r="W158"/>
          <cell r="AT158"/>
          <cell r="CF158"/>
          <cell r="CP158"/>
          <cell r="CT158"/>
          <cell r="CV158"/>
        </row>
        <row r="159">
          <cell r="W159"/>
          <cell r="AT159"/>
          <cell r="CF159"/>
          <cell r="CP159"/>
          <cell r="CT159"/>
          <cell r="CV159"/>
        </row>
        <row r="160">
          <cell r="W160"/>
          <cell r="AT160"/>
          <cell r="CF160"/>
          <cell r="CP160"/>
          <cell r="CT160"/>
          <cell r="CV160"/>
        </row>
        <row r="161">
          <cell r="W161"/>
          <cell r="AT161"/>
          <cell r="CF161"/>
          <cell r="CP161"/>
          <cell r="CT161"/>
          <cell r="CV161"/>
        </row>
        <row r="162">
          <cell r="W162"/>
          <cell r="AT162"/>
          <cell r="CF162"/>
          <cell r="CP162"/>
          <cell r="CT162"/>
          <cell r="CV162"/>
        </row>
        <row r="163">
          <cell r="W163"/>
          <cell r="AT163"/>
          <cell r="CF163"/>
          <cell r="CP163"/>
          <cell r="CT163"/>
          <cell r="CV163"/>
        </row>
        <row r="164">
          <cell r="W164"/>
          <cell r="AT164"/>
          <cell r="CF164"/>
          <cell r="CP164"/>
          <cell r="CT164"/>
          <cell r="CV164"/>
        </row>
        <row r="165">
          <cell r="W165"/>
          <cell r="AT165"/>
          <cell r="CF165"/>
          <cell r="CP165"/>
          <cell r="CT165"/>
          <cell r="CV165"/>
        </row>
        <row r="166">
          <cell r="W166"/>
          <cell r="AT166"/>
          <cell r="CF166"/>
          <cell r="CP166"/>
          <cell r="CT166"/>
          <cell r="CV166"/>
        </row>
        <row r="167">
          <cell r="W167"/>
          <cell r="AT167"/>
          <cell r="CF167"/>
          <cell r="CP167"/>
          <cell r="CT167"/>
          <cell r="CV167"/>
        </row>
        <row r="168">
          <cell r="W168"/>
          <cell r="AT168"/>
          <cell r="CF168"/>
          <cell r="CP168"/>
          <cell r="CT168"/>
          <cell r="CV168"/>
        </row>
        <row r="169">
          <cell r="W169"/>
          <cell r="AT169"/>
          <cell r="CF169"/>
          <cell r="CP169"/>
          <cell r="CT169"/>
          <cell r="CV169"/>
        </row>
        <row r="170">
          <cell r="W170"/>
          <cell r="AT170"/>
          <cell r="CF170"/>
          <cell r="CP170"/>
          <cell r="CT170"/>
          <cell r="CV170"/>
        </row>
        <row r="171">
          <cell r="W171"/>
          <cell r="AT171"/>
          <cell r="CF171"/>
          <cell r="CP171"/>
          <cell r="CT171"/>
          <cell r="CV171"/>
        </row>
        <row r="172">
          <cell r="W172"/>
          <cell r="AT172"/>
          <cell r="CF172"/>
          <cell r="CP172"/>
          <cell r="CT172"/>
          <cell r="CV172"/>
        </row>
        <row r="173">
          <cell r="W173"/>
          <cell r="AT173"/>
          <cell r="CF173"/>
          <cell r="CP173"/>
          <cell r="CT173"/>
          <cell r="CV173"/>
        </row>
        <row r="174">
          <cell r="W174"/>
          <cell r="AT174"/>
          <cell r="CF174"/>
          <cell r="CP174"/>
          <cell r="CT174"/>
          <cell r="CV174"/>
        </row>
        <row r="175">
          <cell r="W175"/>
          <cell r="AT175"/>
          <cell r="CF175"/>
          <cell r="CP175"/>
          <cell r="CT175"/>
          <cell r="CV175"/>
        </row>
        <row r="176">
          <cell r="W176"/>
          <cell r="AT176"/>
          <cell r="CF176"/>
          <cell r="CP176"/>
          <cell r="CT176"/>
          <cell r="CV176"/>
        </row>
        <row r="177">
          <cell r="W177"/>
          <cell r="AT177"/>
          <cell r="CF177"/>
          <cell r="CP177"/>
          <cell r="CT177"/>
          <cell r="CV177"/>
        </row>
        <row r="178">
          <cell r="W178"/>
          <cell r="AT178"/>
          <cell r="CF178"/>
          <cell r="CP178"/>
          <cell r="CT178"/>
          <cell r="CV178"/>
        </row>
        <row r="179">
          <cell r="W179"/>
          <cell r="AT179"/>
          <cell r="CF179"/>
          <cell r="CT179"/>
          <cell r="CV179"/>
        </row>
        <row r="180">
          <cell r="W180"/>
          <cell r="AT180"/>
          <cell r="CF180"/>
          <cell r="CV180"/>
        </row>
        <row r="181">
          <cell r="W181"/>
          <cell r="AT181"/>
          <cell r="CF181"/>
          <cell r="CV181"/>
        </row>
        <row r="182">
          <cell r="W182"/>
          <cell r="AT182"/>
          <cell r="CF182"/>
          <cell r="CV182"/>
        </row>
        <row r="183">
          <cell r="W183"/>
          <cell r="AT183"/>
          <cell r="CF183"/>
          <cell r="CV183"/>
        </row>
        <row r="184">
          <cell r="W184"/>
          <cell r="AT184"/>
          <cell r="CF184"/>
          <cell r="CV184"/>
        </row>
        <row r="185">
          <cell r="W185"/>
          <cell r="AT185"/>
          <cell r="CF185"/>
          <cell r="CV185"/>
        </row>
        <row r="186">
          <cell r="W186"/>
          <cell r="AT186"/>
          <cell r="CF186"/>
          <cell r="CV186"/>
        </row>
        <row r="187">
          <cell r="W187"/>
          <cell r="AT187"/>
          <cell r="CF187"/>
          <cell r="CV187"/>
        </row>
        <row r="188">
          <cell r="W188"/>
          <cell r="AT188"/>
          <cell r="CF188"/>
          <cell r="CV188"/>
        </row>
        <row r="189">
          <cell r="W189"/>
          <cell r="AT189"/>
          <cell r="CF189"/>
          <cell r="CV189"/>
        </row>
        <row r="190">
          <cell r="W190"/>
          <cell r="AT190"/>
          <cell r="CF190"/>
          <cell r="CV190"/>
        </row>
        <row r="191">
          <cell r="W191"/>
          <cell r="AT191"/>
          <cell r="CF191"/>
          <cell r="CV191"/>
        </row>
        <row r="192">
          <cell r="W192"/>
          <cell r="AT192"/>
          <cell r="CF192"/>
          <cell r="CV192"/>
        </row>
        <row r="193">
          <cell r="W193"/>
          <cell r="AT193"/>
          <cell r="CF193"/>
          <cell r="CV193"/>
        </row>
        <row r="194">
          <cell r="W194"/>
          <cell r="AT194"/>
          <cell r="CF194"/>
          <cell r="CV194"/>
        </row>
        <row r="195">
          <cell r="W195"/>
          <cell r="AT195"/>
          <cell r="CF195"/>
          <cell r="CV195"/>
        </row>
        <row r="196">
          <cell r="W196"/>
          <cell r="AT196"/>
          <cell r="CF196"/>
          <cell r="CV196"/>
        </row>
        <row r="197">
          <cell r="W197"/>
          <cell r="AT197"/>
          <cell r="CF197"/>
          <cell r="CV197"/>
        </row>
        <row r="198">
          <cell r="W198"/>
          <cell r="AT198"/>
          <cell r="CF198"/>
          <cell r="CV198"/>
        </row>
        <row r="199">
          <cell r="W199"/>
          <cell r="AT199"/>
          <cell r="CF199"/>
          <cell r="CV199"/>
        </row>
        <row r="200">
          <cell r="W200"/>
          <cell r="AT200"/>
          <cell r="CF200"/>
          <cell r="CV200"/>
        </row>
        <row r="201">
          <cell r="W201"/>
          <cell r="AT201"/>
          <cell r="CF201"/>
          <cell r="CV201"/>
        </row>
        <row r="202">
          <cell r="W202"/>
          <cell r="AT202"/>
          <cell r="CF202"/>
          <cell r="CV202"/>
        </row>
        <row r="203">
          <cell r="W203"/>
          <cell r="AT203"/>
          <cell r="CF203"/>
          <cell r="CV203"/>
        </row>
        <row r="204">
          <cell r="W204"/>
          <cell r="AT204"/>
          <cell r="CF204"/>
          <cell r="CV204"/>
        </row>
        <row r="205">
          <cell r="W205"/>
          <cell r="AT205"/>
          <cell r="CF205"/>
          <cell r="CV205"/>
        </row>
        <row r="206">
          <cell r="W206"/>
          <cell r="AT206"/>
          <cell r="CF206"/>
          <cell r="CV206"/>
        </row>
        <row r="207">
          <cell r="W207"/>
          <cell r="AT207"/>
          <cell r="CF207"/>
          <cell r="CV207"/>
        </row>
        <row r="208">
          <cell r="W208"/>
          <cell r="AT208"/>
          <cell r="CF208"/>
          <cell r="CV208"/>
        </row>
        <row r="209">
          <cell r="W209"/>
          <cell r="AT209"/>
          <cell r="CF209"/>
          <cell r="CV209"/>
        </row>
        <row r="210">
          <cell r="W210"/>
          <cell r="AT210"/>
          <cell r="CF210"/>
          <cell r="CV210"/>
        </row>
        <row r="211">
          <cell r="W211"/>
          <cell r="AT211"/>
          <cell r="CF211"/>
          <cell r="CV211"/>
        </row>
        <row r="212">
          <cell r="W212"/>
          <cell r="AT212"/>
          <cell r="CF212"/>
          <cell r="CV212"/>
        </row>
        <row r="213">
          <cell r="W213"/>
          <cell r="AT213"/>
          <cell r="CF213"/>
          <cell r="CV213"/>
        </row>
        <row r="214">
          <cell r="W214"/>
          <cell r="AT214"/>
          <cell r="CF214"/>
          <cell r="CV214"/>
        </row>
        <row r="215">
          <cell r="W215"/>
          <cell r="AT215"/>
          <cell r="CF215"/>
          <cell r="CV215"/>
        </row>
        <row r="216">
          <cell r="W216"/>
          <cell r="AT216"/>
          <cell r="CF216"/>
          <cell r="CV216"/>
        </row>
        <row r="217">
          <cell r="W217"/>
          <cell r="AT217"/>
          <cell r="CF217"/>
          <cell r="CV217"/>
        </row>
        <row r="218">
          <cell r="W218"/>
          <cell r="AT218"/>
          <cell r="CF218"/>
          <cell r="CV218"/>
        </row>
        <row r="219">
          <cell r="W219"/>
          <cell r="AT219"/>
          <cell r="CF219"/>
          <cell r="CV219"/>
        </row>
        <row r="220">
          <cell r="W220"/>
          <cell r="AT220"/>
          <cell r="CF220"/>
          <cell r="CV220"/>
        </row>
        <row r="221">
          <cell r="W221"/>
          <cell r="AT221"/>
          <cell r="CF221"/>
          <cell r="CV221"/>
        </row>
        <row r="222">
          <cell r="W222"/>
          <cell r="AT222"/>
          <cell r="CF222"/>
          <cell r="CV222"/>
        </row>
        <row r="223">
          <cell r="W223"/>
          <cell r="AT223"/>
          <cell r="CF223"/>
          <cell r="CV223"/>
        </row>
        <row r="224">
          <cell r="W224"/>
          <cell r="AT224"/>
          <cell r="CF224"/>
          <cell r="CV224"/>
        </row>
        <row r="225">
          <cell r="W225"/>
          <cell r="AT225"/>
          <cell r="CF225"/>
          <cell r="CV225"/>
        </row>
        <row r="226">
          <cell r="W226"/>
          <cell r="AT226"/>
          <cell r="CF226"/>
          <cell r="CV226"/>
        </row>
        <row r="227">
          <cell r="W227"/>
          <cell r="AT227"/>
          <cell r="CF227"/>
          <cell r="CV227"/>
        </row>
        <row r="228">
          <cell r="W228"/>
          <cell r="AT228"/>
          <cell r="CF228"/>
          <cell r="CV228"/>
        </row>
        <row r="229">
          <cell r="W229"/>
          <cell r="AT229"/>
          <cell r="CF229"/>
          <cell r="CV229"/>
        </row>
        <row r="230">
          <cell r="W230"/>
          <cell r="AT230"/>
          <cell r="CF230"/>
          <cell r="CV230"/>
        </row>
        <row r="231">
          <cell r="W231"/>
          <cell r="AT231"/>
          <cell r="CF231"/>
          <cell r="CV231"/>
        </row>
        <row r="232">
          <cell r="W232"/>
          <cell r="AT232"/>
          <cell r="CF232"/>
          <cell r="CV232"/>
        </row>
        <row r="233">
          <cell r="W233"/>
          <cell r="AT233"/>
          <cell r="CF233"/>
          <cell r="CV233"/>
        </row>
        <row r="234">
          <cell r="W234"/>
          <cell r="AT234"/>
          <cell r="CF234"/>
          <cell r="CV234"/>
        </row>
        <row r="235">
          <cell r="W235"/>
          <cell r="AT235"/>
          <cell r="CF235"/>
          <cell r="CV235"/>
        </row>
        <row r="236">
          <cell r="W236"/>
          <cell r="AT236"/>
          <cell r="CF236"/>
          <cell r="CV236"/>
        </row>
        <row r="237">
          <cell r="W237"/>
          <cell r="AT237"/>
          <cell r="CF237"/>
          <cell r="CV237"/>
        </row>
        <row r="238">
          <cell r="W238"/>
          <cell r="AT238"/>
          <cell r="CF238"/>
          <cell r="CV238"/>
        </row>
        <row r="239">
          <cell r="W239"/>
          <cell r="AT239"/>
          <cell r="CF239"/>
          <cell r="CV239"/>
        </row>
        <row r="240">
          <cell r="W240"/>
          <cell r="AT240"/>
          <cell r="CF240"/>
          <cell r="CV240"/>
        </row>
        <row r="241">
          <cell r="W241"/>
          <cell r="AT241"/>
          <cell r="CF241"/>
          <cell r="CV241"/>
        </row>
        <row r="242">
          <cell r="W242"/>
          <cell r="AT242"/>
          <cell r="CF242"/>
          <cell r="CV242"/>
        </row>
        <row r="243">
          <cell r="W243"/>
          <cell r="AT243"/>
          <cell r="CF243"/>
          <cell r="CV243"/>
        </row>
        <row r="244">
          <cell r="W244"/>
          <cell r="AT244"/>
          <cell r="CF244"/>
          <cell r="CV244"/>
        </row>
        <row r="245">
          <cell r="W245"/>
          <cell r="AT245"/>
          <cell r="CF245"/>
          <cell r="CV245"/>
        </row>
        <row r="246">
          <cell r="W246"/>
          <cell r="AT246"/>
          <cell r="CF246"/>
          <cell r="CV246"/>
        </row>
        <row r="247">
          <cell r="W247"/>
          <cell r="AT247"/>
          <cell r="CF247"/>
          <cell r="CV247"/>
        </row>
        <row r="248">
          <cell r="W248"/>
          <cell r="AT248"/>
          <cell r="CF248"/>
          <cell r="CV248"/>
        </row>
        <row r="249">
          <cell r="W249"/>
          <cell r="AT249"/>
          <cell r="CF249"/>
          <cell r="CV249"/>
        </row>
        <row r="250">
          <cell r="W250"/>
          <cell r="AT250"/>
          <cell r="CF250"/>
          <cell r="CV250"/>
        </row>
        <row r="251">
          <cell r="W251"/>
          <cell r="AT251"/>
          <cell r="CF251"/>
          <cell r="CV251"/>
        </row>
        <row r="252">
          <cell r="W252"/>
          <cell r="AT252"/>
          <cell r="CF252"/>
          <cell r="CV252"/>
        </row>
        <row r="253">
          <cell r="W253"/>
          <cell r="AT253"/>
          <cell r="CF253"/>
          <cell r="CV253"/>
        </row>
        <row r="254">
          <cell r="W254"/>
          <cell r="AT254"/>
          <cell r="CF254"/>
          <cell r="CV254"/>
        </row>
        <row r="255">
          <cell r="W255"/>
          <cell r="AT255"/>
          <cell r="CF255"/>
          <cell r="CV255"/>
        </row>
        <row r="256">
          <cell r="W256"/>
          <cell r="AT256"/>
          <cell r="CF256"/>
          <cell r="CV256"/>
        </row>
        <row r="257">
          <cell r="W257"/>
          <cell r="AT257"/>
          <cell r="CF257"/>
          <cell r="CV257"/>
        </row>
        <row r="258">
          <cell r="W258"/>
          <cell r="AT258"/>
          <cell r="CF258"/>
          <cell r="CV258"/>
        </row>
        <row r="259">
          <cell r="W259"/>
          <cell r="AT259"/>
          <cell r="CF259"/>
          <cell r="CV259"/>
        </row>
        <row r="260">
          <cell r="W260"/>
          <cell r="AT260"/>
          <cell r="CF260"/>
          <cell r="CV260"/>
        </row>
        <row r="261">
          <cell r="W261"/>
          <cell r="AT261"/>
          <cell r="CF261"/>
          <cell r="CV261"/>
        </row>
        <row r="262">
          <cell r="W262"/>
          <cell r="AT262"/>
          <cell r="CF262"/>
          <cell r="CV262"/>
        </row>
        <row r="263">
          <cell r="W263"/>
          <cell r="AT263"/>
          <cell r="CF263"/>
          <cell r="CV263"/>
        </row>
        <row r="264">
          <cell r="W264"/>
          <cell r="AT264"/>
          <cell r="CF264"/>
          <cell r="CV264"/>
        </row>
        <row r="265">
          <cell r="W265"/>
          <cell r="AT265"/>
          <cell r="CF265"/>
          <cell r="CV265"/>
        </row>
        <row r="266">
          <cell r="W266"/>
          <cell r="AT266"/>
          <cell r="CF266"/>
          <cell r="CV266"/>
        </row>
        <row r="267">
          <cell r="W267"/>
          <cell r="AT267"/>
          <cell r="CF267"/>
          <cell r="CV267"/>
        </row>
        <row r="268">
          <cell r="W268"/>
          <cell r="AT268"/>
          <cell r="CF268"/>
          <cell r="CV268"/>
        </row>
        <row r="269">
          <cell r="W269"/>
          <cell r="AT269"/>
          <cell r="CF269"/>
          <cell r="CV269"/>
        </row>
        <row r="270">
          <cell r="W270"/>
          <cell r="AT270"/>
          <cell r="CF270"/>
          <cell r="CV270"/>
        </row>
        <row r="271">
          <cell r="W271"/>
          <cell r="AT271"/>
          <cell r="CF271"/>
          <cell r="CV271"/>
        </row>
        <row r="272">
          <cell r="W272"/>
          <cell r="AT272"/>
          <cell r="CF272"/>
          <cell r="CV272"/>
        </row>
        <row r="273">
          <cell r="W273"/>
          <cell r="AT273"/>
          <cell r="CF273"/>
          <cell r="CV273"/>
        </row>
        <row r="274">
          <cell r="W274"/>
          <cell r="AT274"/>
          <cell r="CF274"/>
          <cell r="CV274"/>
        </row>
        <row r="275">
          <cell r="W275"/>
          <cell r="AT275"/>
          <cell r="CF275"/>
          <cell r="CV275"/>
        </row>
        <row r="276">
          <cell r="W276"/>
          <cell r="AT276"/>
          <cell r="CF276"/>
          <cell r="CV276"/>
        </row>
        <row r="277">
          <cell r="W277"/>
          <cell r="AT277"/>
          <cell r="CF277"/>
          <cell r="CV277"/>
        </row>
        <row r="278">
          <cell r="W278"/>
          <cell r="AT278"/>
          <cell r="CF278"/>
          <cell r="CV278"/>
        </row>
        <row r="279">
          <cell r="W279"/>
          <cell r="AT279"/>
          <cell r="CF279"/>
          <cell r="CV279"/>
        </row>
        <row r="280">
          <cell r="W280"/>
          <cell r="AT280"/>
          <cell r="CF280"/>
          <cell r="CV280"/>
        </row>
        <row r="281">
          <cell r="W281"/>
          <cell r="AT281"/>
          <cell r="CF281"/>
          <cell r="CV281"/>
        </row>
        <row r="282">
          <cell r="W282"/>
          <cell r="AT282"/>
          <cell r="CF282"/>
          <cell r="CV282"/>
        </row>
        <row r="283">
          <cell r="W283"/>
          <cell r="AT283"/>
          <cell r="CF283"/>
          <cell r="CV283"/>
        </row>
        <row r="284">
          <cell r="W284"/>
          <cell r="AT284"/>
          <cell r="CF284"/>
          <cell r="CV284"/>
        </row>
        <row r="285">
          <cell r="W285"/>
          <cell r="AT285"/>
          <cell r="CF285"/>
          <cell r="CV285"/>
        </row>
        <row r="286">
          <cell r="W286"/>
          <cell r="AT286"/>
          <cell r="CF286"/>
          <cell r="CV286"/>
        </row>
        <row r="287">
          <cell r="W287"/>
          <cell r="AT287"/>
          <cell r="CF287"/>
          <cell r="CV287"/>
        </row>
        <row r="288">
          <cell r="W288"/>
          <cell r="AT288"/>
          <cell r="CF288"/>
          <cell r="CV288"/>
        </row>
        <row r="289">
          <cell r="W289"/>
          <cell r="AT289"/>
          <cell r="CF289"/>
          <cell r="CV289"/>
        </row>
        <row r="290">
          <cell r="W290"/>
          <cell r="AT290"/>
          <cell r="CF290"/>
          <cell r="CV290"/>
        </row>
        <row r="291">
          <cell r="W291"/>
          <cell r="AT291"/>
          <cell r="CF291"/>
          <cell r="CV291"/>
        </row>
        <row r="292">
          <cell r="W292"/>
          <cell r="AT292"/>
          <cell r="CF292"/>
          <cell r="CV292"/>
        </row>
        <row r="293">
          <cell r="W293"/>
          <cell r="AT293"/>
          <cell r="CF293"/>
          <cell r="CV293"/>
        </row>
        <row r="294">
          <cell r="W294"/>
          <cell r="AT294"/>
          <cell r="CF294"/>
          <cell r="CV294"/>
        </row>
        <row r="295">
          <cell r="W295"/>
          <cell r="AT295"/>
          <cell r="CF295"/>
          <cell r="CV295"/>
        </row>
        <row r="296">
          <cell r="W296"/>
          <cell r="AT296"/>
          <cell r="CF296"/>
          <cell r="CV296"/>
        </row>
        <row r="297">
          <cell r="W297"/>
          <cell r="AT297"/>
          <cell r="CF297"/>
          <cell r="CV297"/>
        </row>
        <row r="298">
          <cell r="W298"/>
          <cell r="AT298"/>
          <cell r="CF298"/>
          <cell r="CV298"/>
        </row>
        <row r="299">
          <cell r="W299"/>
          <cell r="AT299"/>
          <cell r="CF299"/>
          <cell r="CV299"/>
        </row>
        <row r="300">
          <cell r="W300"/>
          <cell r="AT300"/>
          <cell r="CF300"/>
          <cell r="CV300"/>
        </row>
        <row r="301">
          <cell r="W301"/>
          <cell r="AT301"/>
          <cell r="CF301"/>
          <cell r="CV301"/>
        </row>
        <row r="302">
          <cell r="W302"/>
          <cell r="AT302"/>
          <cell r="CF302"/>
          <cell r="CV302"/>
        </row>
        <row r="303">
          <cell r="W303"/>
          <cell r="AT303"/>
          <cell r="CF303"/>
          <cell r="CV303"/>
        </row>
        <row r="304">
          <cell r="W304"/>
          <cell r="AT304"/>
          <cell r="CF304"/>
          <cell r="CV304"/>
        </row>
        <row r="305">
          <cell r="W305"/>
          <cell r="AT305"/>
          <cell r="CF305"/>
          <cell r="CV305"/>
        </row>
        <row r="306">
          <cell r="W306"/>
          <cell r="AT306"/>
          <cell r="CF306"/>
          <cell r="CV306"/>
        </row>
        <row r="307">
          <cell r="W307"/>
          <cell r="AT307"/>
          <cell r="CF307"/>
          <cell r="CV307"/>
        </row>
        <row r="308">
          <cell r="W308"/>
          <cell r="AT308"/>
          <cell r="CF308"/>
          <cell r="CV308"/>
        </row>
        <row r="309">
          <cell r="W309"/>
          <cell r="AT309"/>
          <cell r="CF309"/>
          <cell r="CV309"/>
        </row>
        <row r="310">
          <cell r="W310"/>
          <cell r="AT310"/>
          <cell r="CF310"/>
          <cell r="CV310"/>
        </row>
        <row r="311">
          <cell r="W311"/>
          <cell r="AT311"/>
          <cell r="CF311"/>
          <cell r="CV311"/>
        </row>
        <row r="312">
          <cell r="W312"/>
          <cell r="AT312"/>
          <cell r="CF312"/>
          <cell r="CV312"/>
        </row>
        <row r="313">
          <cell r="W313"/>
          <cell r="AT313"/>
          <cell r="CF313"/>
          <cell r="CV313"/>
        </row>
        <row r="314">
          <cell r="W314"/>
          <cell r="AT314"/>
          <cell r="CF314"/>
          <cell r="CV314"/>
        </row>
        <row r="315">
          <cell r="W315"/>
          <cell r="AT315"/>
          <cell r="CF315"/>
          <cell r="CV315"/>
        </row>
        <row r="316">
          <cell r="W316"/>
          <cell r="AT316"/>
          <cell r="CF316"/>
          <cell r="CV316"/>
        </row>
        <row r="317">
          <cell r="W317"/>
          <cell r="AT317"/>
          <cell r="CF317"/>
          <cell r="CV317"/>
        </row>
        <row r="318">
          <cell r="W318"/>
          <cell r="AT318"/>
          <cell r="CF318"/>
          <cell r="CV318"/>
        </row>
        <row r="319">
          <cell r="W319"/>
          <cell r="AT319"/>
          <cell r="CF319"/>
          <cell r="CV319"/>
        </row>
        <row r="320">
          <cell r="W320"/>
          <cell r="AT320"/>
          <cell r="CF320"/>
          <cell r="CV320"/>
        </row>
        <row r="321">
          <cell r="W321"/>
          <cell r="AT321"/>
          <cell r="CF321"/>
          <cell r="CV321"/>
        </row>
        <row r="322">
          <cell r="W322"/>
          <cell r="AT322"/>
          <cell r="CF322"/>
          <cell r="CV322"/>
        </row>
        <row r="323">
          <cell r="W323"/>
          <cell r="AT323"/>
          <cell r="CF323"/>
          <cell r="CV323"/>
        </row>
        <row r="324">
          <cell r="W324"/>
          <cell r="AT324"/>
          <cell r="CF324"/>
          <cell r="CV324"/>
        </row>
        <row r="325">
          <cell r="W325"/>
          <cell r="AT325"/>
          <cell r="CF325"/>
          <cell r="CV325"/>
        </row>
        <row r="326">
          <cell r="W326"/>
          <cell r="AT326"/>
          <cell r="CF326"/>
          <cell r="CV326"/>
        </row>
        <row r="327">
          <cell r="W327"/>
          <cell r="AT327"/>
          <cell r="CF327"/>
          <cell r="CV327"/>
        </row>
        <row r="328">
          <cell r="W328"/>
          <cell r="AT328"/>
          <cell r="CF328"/>
          <cell r="CV328"/>
        </row>
        <row r="329">
          <cell r="W329"/>
          <cell r="AT329"/>
          <cell r="CF329"/>
          <cell r="CV329"/>
        </row>
        <row r="330">
          <cell r="W330"/>
          <cell r="AT330"/>
          <cell r="CF330"/>
          <cell r="CV330"/>
        </row>
        <row r="331">
          <cell r="W331"/>
          <cell r="AT331"/>
          <cell r="CF331"/>
          <cell r="CV331"/>
        </row>
        <row r="332">
          <cell r="W332"/>
          <cell r="AT332"/>
          <cell r="CF332"/>
          <cell r="CV332"/>
        </row>
        <row r="333">
          <cell r="W333"/>
          <cell r="AT333"/>
          <cell r="CF333"/>
          <cell r="CV333"/>
        </row>
        <row r="334">
          <cell r="W334"/>
          <cell r="AT334"/>
          <cell r="CF334"/>
          <cell r="CV334"/>
        </row>
        <row r="335">
          <cell r="W335"/>
          <cell r="AT335"/>
          <cell r="CF335"/>
          <cell r="CV335"/>
        </row>
        <row r="336">
          <cell r="W336"/>
          <cell r="AT336"/>
          <cell r="CF336"/>
          <cell r="CV336"/>
        </row>
        <row r="337">
          <cell r="W337"/>
          <cell r="AT337"/>
          <cell r="CF337"/>
          <cell r="CV337"/>
        </row>
        <row r="338">
          <cell r="W338"/>
          <cell r="AT338"/>
          <cell r="CF338"/>
          <cell r="CV338"/>
        </row>
        <row r="339">
          <cell r="W339"/>
          <cell r="AT339"/>
          <cell r="CF339"/>
          <cell r="CV339"/>
        </row>
        <row r="340">
          <cell r="W340"/>
          <cell r="AT340"/>
          <cell r="CF340"/>
          <cell r="CV340"/>
        </row>
        <row r="341">
          <cell r="W341"/>
          <cell r="AT341"/>
          <cell r="CF341"/>
          <cell r="CV341"/>
        </row>
        <row r="342">
          <cell r="W342"/>
          <cell r="AT342"/>
          <cell r="CF342"/>
          <cell r="CV342"/>
        </row>
        <row r="343">
          <cell r="W343"/>
          <cell r="AT343"/>
          <cell r="CF343"/>
          <cell r="CV343"/>
        </row>
        <row r="344">
          <cell r="W344"/>
          <cell r="AT344"/>
          <cell r="CF344"/>
          <cell r="CV344"/>
        </row>
        <row r="345">
          <cell r="W345"/>
          <cell r="AT345"/>
          <cell r="CF345"/>
          <cell r="CV345"/>
        </row>
        <row r="346">
          <cell r="W346"/>
          <cell r="AT346"/>
          <cell r="CF346"/>
          <cell r="CV346"/>
        </row>
        <row r="347">
          <cell r="W347"/>
          <cell r="AT347"/>
          <cell r="CF347"/>
          <cell r="CV347"/>
        </row>
        <row r="348">
          <cell r="W348"/>
          <cell r="AT348"/>
          <cell r="CF348"/>
          <cell r="CV348"/>
        </row>
        <row r="349">
          <cell r="W349"/>
          <cell r="AT349"/>
          <cell r="CF349"/>
          <cell r="CV349"/>
        </row>
        <row r="350">
          <cell r="W350"/>
          <cell r="AT350"/>
          <cell r="CF350"/>
          <cell r="CV350"/>
        </row>
        <row r="351">
          <cell r="W351"/>
          <cell r="AT351"/>
          <cell r="CF351"/>
          <cell r="CV351"/>
        </row>
        <row r="352">
          <cell r="W352"/>
          <cell r="AT352"/>
          <cell r="CF352"/>
          <cell r="CV352"/>
        </row>
        <row r="353">
          <cell r="W353"/>
          <cell r="AT353"/>
          <cell r="CF353"/>
          <cell r="CV353"/>
        </row>
        <row r="354">
          <cell r="W354"/>
          <cell r="AT354"/>
          <cell r="CF354"/>
          <cell r="CV354"/>
        </row>
        <row r="355">
          <cell r="W355"/>
          <cell r="AT355"/>
          <cell r="CF355"/>
          <cell r="CV355"/>
        </row>
        <row r="356">
          <cell r="W356"/>
          <cell r="AT356"/>
          <cell r="CF356"/>
          <cell r="CV356"/>
        </row>
        <row r="357">
          <cell r="W357"/>
          <cell r="AT357"/>
          <cell r="CF357"/>
          <cell r="CV357"/>
        </row>
        <row r="358">
          <cell r="W358"/>
          <cell r="AT358"/>
          <cell r="CF358"/>
          <cell r="CV358"/>
        </row>
        <row r="359">
          <cell r="W359"/>
          <cell r="AT359"/>
          <cell r="CF359"/>
          <cell r="CV359"/>
        </row>
        <row r="360">
          <cell r="W360"/>
          <cell r="AT360"/>
          <cell r="CF360"/>
          <cell r="CV360"/>
        </row>
        <row r="361">
          <cell r="W361"/>
          <cell r="AT361"/>
          <cell r="CF361"/>
          <cell r="CV361"/>
        </row>
        <row r="362">
          <cell r="W362"/>
          <cell r="AT362"/>
          <cell r="CF362"/>
          <cell r="CV362"/>
        </row>
        <row r="363">
          <cell r="W363"/>
          <cell r="AT363"/>
          <cell r="CF363"/>
          <cell r="CV363"/>
        </row>
        <row r="364">
          <cell r="W364"/>
          <cell r="AT364"/>
          <cell r="CF364"/>
          <cell r="CV364"/>
        </row>
        <row r="365">
          <cell r="W365"/>
          <cell r="AT365"/>
          <cell r="CF365"/>
          <cell r="CV365"/>
        </row>
        <row r="366">
          <cell r="W366"/>
          <cell r="AT366"/>
          <cell r="CF366"/>
          <cell r="CV366"/>
        </row>
        <row r="367">
          <cell r="W367"/>
          <cell r="AT367"/>
          <cell r="CF367"/>
          <cell r="CV367"/>
        </row>
        <row r="368">
          <cell r="W368"/>
          <cell r="AT368"/>
          <cell r="CF368"/>
          <cell r="CV368"/>
        </row>
        <row r="369">
          <cell r="W369"/>
          <cell r="AT369"/>
          <cell r="CF369"/>
          <cell r="CV369"/>
        </row>
        <row r="370">
          <cell r="W370"/>
          <cell r="AT370"/>
          <cell r="CF370"/>
          <cell r="CV370"/>
        </row>
        <row r="371">
          <cell r="W371"/>
          <cell r="AT371"/>
          <cell r="CF371"/>
          <cell r="CV371"/>
        </row>
        <row r="372">
          <cell r="W372"/>
          <cell r="AT372"/>
          <cell r="CF372"/>
          <cell r="CV372"/>
        </row>
        <row r="373">
          <cell r="W373"/>
          <cell r="AT373"/>
          <cell r="CF373"/>
          <cell r="CV373"/>
        </row>
        <row r="374">
          <cell r="W374"/>
          <cell r="AT374"/>
          <cell r="CF374"/>
          <cell r="CV374"/>
        </row>
        <row r="375">
          <cell r="W375"/>
          <cell r="AT375"/>
          <cell r="CF375"/>
          <cell r="CV375"/>
        </row>
        <row r="376">
          <cell r="W376"/>
          <cell r="AT376"/>
          <cell r="CF376"/>
          <cell r="CV376"/>
        </row>
        <row r="377">
          <cell r="W377"/>
          <cell r="AT377"/>
          <cell r="CF377"/>
          <cell r="CV377"/>
        </row>
        <row r="378">
          <cell r="W378"/>
          <cell r="AT378"/>
          <cell r="CF378"/>
          <cell r="CV378"/>
        </row>
        <row r="379">
          <cell r="W379"/>
          <cell r="AT379"/>
          <cell r="CF379"/>
          <cell r="CV379"/>
        </row>
        <row r="380">
          <cell r="W380"/>
          <cell r="AT380"/>
          <cell r="CF380"/>
          <cell r="CV380"/>
        </row>
        <row r="381">
          <cell r="W381"/>
          <cell r="AT381"/>
          <cell r="CF381"/>
          <cell r="CV381"/>
        </row>
        <row r="382">
          <cell r="W382"/>
          <cell r="AT382"/>
          <cell r="CF382"/>
          <cell r="CV382"/>
        </row>
        <row r="383">
          <cell r="W383"/>
          <cell r="AT383"/>
          <cell r="CF383"/>
          <cell r="CV383"/>
        </row>
        <row r="384">
          <cell r="W384"/>
          <cell r="AT384"/>
          <cell r="CF384"/>
          <cell r="CV384"/>
        </row>
        <row r="385">
          <cell r="W385"/>
          <cell r="AT385"/>
          <cell r="CF385"/>
          <cell r="CV385"/>
        </row>
        <row r="386">
          <cell r="W386"/>
          <cell r="AT386"/>
          <cell r="CF386"/>
          <cell r="CV386"/>
        </row>
        <row r="387">
          <cell r="W387"/>
          <cell r="AT387"/>
          <cell r="CF387"/>
          <cell r="CV387"/>
        </row>
        <row r="388">
          <cell r="W388"/>
          <cell r="AT388"/>
          <cell r="CF388"/>
          <cell r="CV388"/>
        </row>
        <row r="389">
          <cell r="W389"/>
          <cell r="AT389"/>
          <cell r="CF389"/>
          <cell r="CV389"/>
        </row>
        <row r="390">
          <cell r="W390"/>
          <cell r="AT390"/>
          <cell r="CF390"/>
          <cell r="CV390"/>
        </row>
        <row r="391">
          <cell r="W391"/>
          <cell r="AT391"/>
          <cell r="CF391"/>
          <cell r="CV391"/>
        </row>
        <row r="392">
          <cell r="W392"/>
          <cell r="AT392"/>
          <cell r="CF392"/>
          <cell r="CV392"/>
        </row>
        <row r="393">
          <cell r="W393"/>
          <cell r="AT393"/>
          <cell r="CF393"/>
          <cell r="CV393"/>
        </row>
        <row r="394">
          <cell r="W394"/>
          <cell r="AT394"/>
          <cell r="CF394"/>
          <cell r="CV394"/>
        </row>
        <row r="395">
          <cell r="W395"/>
          <cell r="AT395"/>
          <cell r="CF395"/>
          <cell r="CV395"/>
        </row>
        <row r="396">
          <cell r="W396"/>
          <cell r="AT396"/>
          <cell r="CF396"/>
          <cell r="CV396"/>
        </row>
        <row r="397">
          <cell r="W397"/>
          <cell r="AT397"/>
          <cell r="CF397"/>
          <cell r="CV397"/>
        </row>
        <row r="398">
          <cell r="W398"/>
          <cell r="AT398"/>
          <cell r="CF398"/>
          <cell r="CV398"/>
        </row>
        <row r="399">
          <cell r="W399"/>
          <cell r="AT399"/>
          <cell r="CF399"/>
          <cell r="CV399"/>
        </row>
        <row r="400">
          <cell r="W400"/>
          <cell r="AT400"/>
          <cell r="CF400"/>
          <cell r="CV400"/>
        </row>
        <row r="401">
          <cell r="W401"/>
          <cell r="AT401"/>
          <cell r="CF401"/>
          <cell r="CV401"/>
        </row>
        <row r="402">
          <cell r="W402"/>
          <cell r="AT402"/>
          <cell r="CF402"/>
          <cell r="CV402"/>
        </row>
        <row r="403">
          <cell r="W403"/>
          <cell r="AT403"/>
          <cell r="CF403"/>
          <cell r="CV403"/>
        </row>
        <row r="404">
          <cell r="W404"/>
          <cell r="AT404"/>
          <cell r="CF404"/>
          <cell r="CV404"/>
        </row>
        <row r="405">
          <cell r="W405"/>
          <cell r="AT405"/>
          <cell r="CF405"/>
          <cell r="CV405"/>
        </row>
        <row r="406">
          <cell r="W406"/>
          <cell r="AT406"/>
          <cell r="CF406"/>
          <cell r="CV406"/>
        </row>
        <row r="407">
          <cell r="W407"/>
          <cell r="AT407"/>
          <cell r="CF407"/>
          <cell r="CV407"/>
        </row>
        <row r="408">
          <cell r="W408"/>
          <cell r="AT408"/>
          <cell r="CF408"/>
          <cell r="CV408"/>
        </row>
        <row r="409">
          <cell r="W409"/>
          <cell r="AT409"/>
          <cell r="CF409"/>
          <cell r="CV409"/>
        </row>
        <row r="410">
          <cell r="W410"/>
          <cell r="AT410"/>
          <cell r="CF410"/>
          <cell r="CV410"/>
        </row>
        <row r="411">
          <cell r="W411"/>
          <cell r="AT411"/>
          <cell r="CF411"/>
          <cell r="CV411"/>
        </row>
        <row r="412">
          <cell r="W412"/>
          <cell r="AT412"/>
          <cell r="CF412"/>
          <cell r="CV412"/>
        </row>
        <row r="413">
          <cell r="W413"/>
          <cell r="AT413"/>
          <cell r="CF413"/>
          <cell r="CV413"/>
        </row>
        <row r="414">
          <cell r="W414"/>
          <cell r="AT414"/>
          <cell r="CF414"/>
        </row>
        <row r="415">
          <cell r="W415"/>
          <cell r="AT415"/>
          <cell r="CF415"/>
        </row>
        <row r="416">
          <cell r="W416"/>
          <cell r="AT416"/>
          <cell r="CF416"/>
        </row>
        <row r="417">
          <cell r="W417"/>
          <cell r="AT417"/>
          <cell r="CF417"/>
        </row>
        <row r="418">
          <cell r="W418"/>
          <cell r="AT418"/>
          <cell r="CF418"/>
        </row>
        <row r="419">
          <cell r="W419"/>
          <cell r="AT419"/>
          <cell r="CF419"/>
        </row>
        <row r="420">
          <cell r="W420"/>
          <cell r="AT420"/>
          <cell r="CF420"/>
        </row>
        <row r="421">
          <cell r="W421"/>
          <cell r="AT421"/>
          <cell r="CF421"/>
        </row>
        <row r="422">
          <cell r="W422"/>
          <cell r="AT422"/>
          <cell r="CF422"/>
        </row>
        <row r="423">
          <cell r="W423"/>
          <cell r="AT423"/>
          <cell r="CF423"/>
        </row>
        <row r="424">
          <cell r="W424"/>
          <cell r="AT424"/>
          <cell r="CF424"/>
        </row>
        <row r="425">
          <cell r="W425"/>
          <cell r="AT425"/>
          <cell r="CF425"/>
        </row>
        <row r="426">
          <cell r="W426"/>
          <cell r="AT426"/>
          <cell r="CF426"/>
        </row>
        <row r="427">
          <cell r="W427"/>
          <cell r="AT427"/>
          <cell r="CF427"/>
        </row>
        <row r="428">
          <cell r="W428"/>
          <cell r="AT428"/>
          <cell r="CF428"/>
        </row>
        <row r="429">
          <cell r="W429"/>
          <cell r="AT429"/>
          <cell r="CF429"/>
        </row>
        <row r="430">
          <cell r="W430"/>
          <cell r="AT430"/>
          <cell r="CF430"/>
        </row>
        <row r="431">
          <cell r="W431"/>
          <cell r="AT431"/>
          <cell r="CF431"/>
        </row>
        <row r="432">
          <cell r="W432"/>
          <cell r="AT432"/>
          <cell r="CF432"/>
        </row>
        <row r="433">
          <cell r="W433"/>
          <cell r="AT433"/>
          <cell r="CF433"/>
        </row>
        <row r="434">
          <cell r="W434"/>
          <cell r="AT434"/>
          <cell r="CF434"/>
        </row>
        <row r="435">
          <cell r="W435"/>
          <cell r="AT435"/>
          <cell r="CF435"/>
        </row>
        <row r="436">
          <cell r="W436"/>
          <cell r="AT436"/>
          <cell r="CF436"/>
        </row>
        <row r="437">
          <cell r="W437"/>
          <cell r="AT437"/>
          <cell r="CF437"/>
        </row>
        <row r="438">
          <cell r="W438"/>
          <cell r="AT438"/>
          <cell r="CF438"/>
        </row>
        <row r="439">
          <cell r="W439"/>
          <cell r="AT439"/>
          <cell r="CF439"/>
        </row>
        <row r="440">
          <cell r="W440"/>
          <cell r="AT440"/>
          <cell r="CF440"/>
        </row>
        <row r="441">
          <cell r="W441"/>
          <cell r="AT441"/>
          <cell r="CF441"/>
        </row>
        <row r="442">
          <cell r="W442"/>
          <cell r="AT442"/>
          <cell r="CF442"/>
        </row>
        <row r="443">
          <cell r="W443"/>
          <cell r="AT443"/>
          <cell r="CF443"/>
        </row>
        <row r="444">
          <cell r="W444"/>
          <cell r="AT444"/>
          <cell r="CF444"/>
        </row>
        <row r="445">
          <cell r="W445"/>
          <cell r="AT445"/>
          <cell r="CF445"/>
        </row>
        <row r="446">
          <cell r="W446"/>
          <cell r="AT446"/>
          <cell r="CF446"/>
        </row>
        <row r="447">
          <cell r="W447"/>
          <cell r="AT447"/>
          <cell r="CF447"/>
        </row>
        <row r="448">
          <cell r="W448"/>
          <cell r="AT448"/>
          <cell r="CF448"/>
        </row>
        <row r="449">
          <cell r="W449"/>
          <cell r="AT449"/>
          <cell r="CF449"/>
        </row>
        <row r="450">
          <cell r="W450"/>
          <cell r="AT450"/>
          <cell r="CF450"/>
        </row>
        <row r="451">
          <cell r="W451"/>
          <cell r="AT451"/>
          <cell r="CF451"/>
        </row>
        <row r="452">
          <cell r="W452"/>
          <cell r="AT452"/>
          <cell r="CF452"/>
        </row>
        <row r="453">
          <cell r="W453"/>
          <cell r="AT453"/>
          <cell r="CF453"/>
        </row>
        <row r="454">
          <cell r="W454"/>
          <cell r="AT454"/>
          <cell r="CF454"/>
        </row>
        <row r="455">
          <cell r="W455"/>
          <cell r="AT455"/>
          <cell r="CF455"/>
        </row>
        <row r="456">
          <cell r="W456"/>
          <cell r="AT456"/>
          <cell r="CF456"/>
        </row>
        <row r="457">
          <cell r="W457"/>
          <cell r="AT457"/>
          <cell r="CF457"/>
        </row>
        <row r="458">
          <cell r="W458"/>
          <cell r="AT458"/>
          <cell r="CF458"/>
        </row>
        <row r="459">
          <cell r="W459"/>
          <cell r="AT459"/>
          <cell r="CF459"/>
        </row>
        <row r="460">
          <cell r="W460"/>
          <cell r="AT460"/>
          <cell r="CF460"/>
        </row>
        <row r="461">
          <cell r="CF461"/>
        </row>
        <row r="462">
          <cell r="CF462"/>
        </row>
        <row r="463">
          <cell r="CF463"/>
        </row>
        <row r="464">
          <cell r="CF464"/>
        </row>
        <row r="465">
          <cell r="CF465"/>
        </row>
        <row r="466">
          <cell r="CF466"/>
        </row>
        <row r="467">
          <cell r="CF467"/>
        </row>
        <row r="468">
          <cell r="CF468"/>
        </row>
        <row r="469">
          <cell r="CF469"/>
        </row>
        <row r="470">
          <cell r="CF470"/>
        </row>
        <row r="471">
          <cell r="CF471"/>
        </row>
        <row r="472">
          <cell r="CF472"/>
        </row>
        <row r="473">
          <cell r="CF473"/>
        </row>
        <row r="474">
          <cell r="CF474"/>
        </row>
        <row r="475">
          <cell r="CF475"/>
        </row>
        <row r="476">
          <cell r="CF476"/>
        </row>
        <row r="477">
          <cell r="CF477"/>
        </row>
        <row r="478">
          <cell r="CF478"/>
        </row>
        <row r="479">
          <cell r="CF479"/>
        </row>
        <row r="480">
          <cell r="CF480"/>
        </row>
        <row r="481">
          <cell r="CF481"/>
        </row>
        <row r="482">
          <cell r="CF482"/>
        </row>
        <row r="483">
          <cell r="CF483"/>
        </row>
        <row r="484">
          <cell r="CF484"/>
        </row>
        <row r="485">
          <cell r="CF485"/>
        </row>
        <row r="486">
          <cell r="CF486"/>
        </row>
        <row r="487">
          <cell r="CF487"/>
        </row>
        <row r="488">
          <cell r="CF488"/>
        </row>
        <row r="489">
          <cell r="CF489"/>
        </row>
        <row r="490">
          <cell r="CF490"/>
        </row>
        <row r="491">
          <cell r="CF491"/>
        </row>
        <row r="492">
          <cell r="CF492"/>
        </row>
        <row r="493">
          <cell r="CF493"/>
        </row>
        <row r="494">
          <cell r="CF494"/>
        </row>
        <row r="495">
          <cell r="CF495"/>
        </row>
        <row r="496">
          <cell r="CF496"/>
        </row>
        <row r="497">
          <cell r="CF497"/>
        </row>
        <row r="498">
          <cell r="CF498"/>
        </row>
        <row r="499">
          <cell r="CF499"/>
        </row>
        <row r="500">
          <cell r="CF500"/>
        </row>
        <row r="501">
          <cell r="CF501"/>
        </row>
        <row r="502">
          <cell r="CF502"/>
        </row>
        <row r="503">
          <cell r="CF503"/>
        </row>
        <row r="504">
          <cell r="CF504"/>
        </row>
        <row r="505">
          <cell r="CF505"/>
        </row>
        <row r="506">
          <cell r="CF506"/>
        </row>
        <row r="507">
          <cell r="CF507"/>
        </row>
        <row r="508">
          <cell r="CF508"/>
        </row>
        <row r="509">
          <cell r="CF509"/>
        </row>
        <row r="510">
          <cell r="CF510"/>
        </row>
        <row r="511">
          <cell r="CF511"/>
        </row>
        <row r="512">
          <cell r="CF512"/>
        </row>
        <row r="513">
          <cell r="CF513"/>
        </row>
        <row r="514">
          <cell r="CF514"/>
        </row>
        <row r="515">
          <cell r="CF515"/>
        </row>
        <row r="516">
          <cell r="CF516"/>
        </row>
        <row r="517">
          <cell r="CF517"/>
        </row>
        <row r="518">
          <cell r="CF518"/>
        </row>
        <row r="519">
          <cell r="CF519"/>
        </row>
        <row r="520">
          <cell r="CF520"/>
        </row>
        <row r="521">
          <cell r="CF521"/>
        </row>
        <row r="522">
          <cell r="CF522"/>
        </row>
        <row r="523">
          <cell r="CF523"/>
        </row>
        <row r="524">
          <cell r="CF524"/>
        </row>
        <row r="525">
          <cell r="CF525"/>
        </row>
        <row r="526">
          <cell r="CF526"/>
        </row>
        <row r="527">
          <cell r="CF527"/>
        </row>
        <row r="528">
          <cell r="CF528"/>
        </row>
        <row r="529">
          <cell r="CF529"/>
        </row>
        <row r="530">
          <cell r="CF530"/>
        </row>
        <row r="531">
          <cell r="CF531"/>
        </row>
        <row r="532">
          <cell r="CF532"/>
        </row>
        <row r="533">
          <cell r="CF533"/>
        </row>
        <row r="534">
          <cell r="CF534"/>
        </row>
        <row r="535">
          <cell r="CF535"/>
        </row>
        <row r="536">
          <cell r="CF536"/>
        </row>
        <row r="537">
          <cell r="CF537"/>
        </row>
        <row r="538">
          <cell r="CF538"/>
        </row>
        <row r="539">
          <cell r="CF539"/>
        </row>
        <row r="540">
          <cell r="CF540"/>
        </row>
        <row r="541">
          <cell r="CF541"/>
        </row>
        <row r="542">
          <cell r="CF542"/>
        </row>
        <row r="543">
          <cell r="CF543"/>
        </row>
        <row r="544">
          <cell r="CF544"/>
        </row>
        <row r="545">
          <cell r="CF545"/>
        </row>
        <row r="546">
          <cell r="CF546"/>
        </row>
        <row r="547">
          <cell r="CF547"/>
        </row>
        <row r="548">
          <cell r="CF548"/>
        </row>
        <row r="549">
          <cell r="CF549"/>
        </row>
        <row r="550">
          <cell r="CF550"/>
        </row>
        <row r="551">
          <cell r="CF551"/>
        </row>
        <row r="552">
          <cell r="CF552"/>
        </row>
        <row r="553">
          <cell r="CF553"/>
        </row>
        <row r="554">
          <cell r="CF554"/>
        </row>
        <row r="555">
          <cell r="CF555"/>
        </row>
        <row r="556">
          <cell r="CF556"/>
        </row>
        <row r="557">
          <cell r="CF557"/>
        </row>
        <row r="558">
          <cell r="CF558"/>
        </row>
        <row r="559">
          <cell r="CF559"/>
        </row>
        <row r="560">
          <cell r="CF560"/>
        </row>
        <row r="561">
          <cell r="CF561"/>
        </row>
        <row r="562">
          <cell r="CF562"/>
        </row>
        <row r="563">
          <cell r="CF563"/>
        </row>
        <row r="564">
          <cell r="CF564"/>
        </row>
        <row r="565">
          <cell r="CF565"/>
        </row>
        <row r="566">
          <cell r="CF566"/>
        </row>
        <row r="567">
          <cell r="CF567"/>
        </row>
        <row r="568">
          <cell r="CF568"/>
        </row>
        <row r="569">
          <cell r="CF569"/>
        </row>
        <row r="570">
          <cell r="CF570"/>
        </row>
        <row r="571">
          <cell r="CF571"/>
        </row>
        <row r="572">
          <cell r="CF572"/>
        </row>
        <row r="573">
          <cell r="CF573"/>
        </row>
        <row r="574">
          <cell r="CF574"/>
        </row>
        <row r="575">
          <cell r="CF575"/>
        </row>
        <row r="576">
          <cell r="CF576"/>
        </row>
        <row r="577">
          <cell r="CF577"/>
        </row>
        <row r="578">
          <cell r="CF578"/>
        </row>
        <row r="579">
          <cell r="CF579"/>
        </row>
        <row r="580">
          <cell r="CF580"/>
        </row>
        <row r="581">
          <cell r="CF581"/>
        </row>
        <row r="582">
          <cell r="CF582"/>
        </row>
        <row r="583">
          <cell r="CF583"/>
        </row>
        <row r="584">
          <cell r="CF584"/>
        </row>
        <row r="585">
          <cell r="CF585"/>
        </row>
        <row r="586">
          <cell r="CF586"/>
        </row>
        <row r="587">
          <cell r="CF587"/>
        </row>
        <row r="588">
          <cell r="CF588"/>
        </row>
        <row r="589">
          <cell r="CF589"/>
        </row>
        <row r="590">
          <cell r="CF590"/>
        </row>
        <row r="591">
          <cell r="CF591"/>
        </row>
        <row r="592">
          <cell r="CF592"/>
        </row>
        <row r="593">
          <cell r="CF593"/>
        </row>
        <row r="594">
          <cell r="CF594"/>
        </row>
        <row r="595">
          <cell r="CF595"/>
        </row>
        <row r="596">
          <cell r="CF596"/>
        </row>
        <row r="597">
          <cell r="CF597"/>
        </row>
        <row r="598">
          <cell r="CF598"/>
        </row>
        <row r="599">
          <cell r="CF599"/>
        </row>
        <row r="600">
          <cell r="CF600"/>
        </row>
        <row r="601">
          <cell r="CF601"/>
        </row>
        <row r="602">
          <cell r="CF602"/>
        </row>
        <row r="603">
          <cell r="CF603"/>
        </row>
        <row r="604">
          <cell r="CF604"/>
        </row>
        <row r="605">
          <cell r="CF605"/>
        </row>
        <row r="606">
          <cell r="CF606"/>
        </row>
        <row r="607">
          <cell r="CF607"/>
        </row>
        <row r="608">
          <cell r="CF608"/>
        </row>
        <row r="609">
          <cell r="CF609"/>
        </row>
        <row r="610">
          <cell r="CF610"/>
        </row>
        <row r="611">
          <cell r="CF611"/>
        </row>
        <row r="612">
          <cell r="CF612"/>
        </row>
        <row r="613">
          <cell r="CF613"/>
        </row>
        <row r="614">
          <cell r="CF614"/>
        </row>
        <row r="615">
          <cell r="CF615"/>
        </row>
        <row r="616">
          <cell r="CF616"/>
        </row>
        <row r="617">
          <cell r="CF617"/>
        </row>
        <row r="618">
          <cell r="CF618"/>
        </row>
        <row r="619">
          <cell r="CF619"/>
        </row>
        <row r="620">
          <cell r="CF620"/>
        </row>
        <row r="621">
          <cell r="CF621"/>
        </row>
        <row r="622">
          <cell r="CF622"/>
        </row>
        <row r="623">
          <cell r="CF623"/>
        </row>
        <row r="624">
          <cell r="CF624"/>
        </row>
        <row r="625">
          <cell r="CF625"/>
        </row>
        <row r="626">
          <cell r="CF626"/>
        </row>
        <row r="627">
          <cell r="CF627"/>
        </row>
        <row r="628">
          <cell r="CF628"/>
        </row>
        <row r="629">
          <cell r="CF629"/>
        </row>
        <row r="630">
          <cell r="CF630"/>
        </row>
        <row r="631">
          <cell r="CF631"/>
        </row>
        <row r="632">
          <cell r="CF632"/>
        </row>
        <row r="633">
          <cell r="CF633"/>
        </row>
        <row r="634">
          <cell r="CF634"/>
        </row>
        <row r="635">
          <cell r="CF635"/>
        </row>
        <row r="636">
          <cell r="CF636"/>
        </row>
        <row r="637">
          <cell r="CF637"/>
        </row>
        <row r="638">
          <cell r="CF638"/>
        </row>
        <row r="639">
          <cell r="CF639"/>
        </row>
        <row r="640">
          <cell r="CF640"/>
        </row>
        <row r="641">
          <cell r="CF641"/>
        </row>
        <row r="642">
          <cell r="CF642"/>
        </row>
        <row r="643">
          <cell r="CF643"/>
        </row>
        <row r="644">
          <cell r="CF644"/>
        </row>
        <row r="645">
          <cell r="CF645"/>
        </row>
        <row r="646">
          <cell r="CF646"/>
        </row>
        <row r="647">
          <cell r="CF647"/>
        </row>
        <row r="648">
          <cell r="CF648"/>
        </row>
        <row r="649">
          <cell r="CF649"/>
        </row>
        <row r="650">
          <cell r="CF650"/>
        </row>
        <row r="651">
          <cell r="CF651"/>
        </row>
        <row r="652">
          <cell r="CF652"/>
        </row>
        <row r="653">
          <cell r="CF653"/>
        </row>
        <row r="654">
          <cell r="CF654"/>
        </row>
        <row r="655">
          <cell r="CF655"/>
        </row>
        <row r="656">
          <cell r="CF656"/>
        </row>
        <row r="657">
          <cell r="CF657"/>
        </row>
        <row r="658">
          <cell r="CF658"/>
        </row>
        <row r="659">
          <cell r="CF659"/>
        </row>
        <row r="660">
          <cell r="CF660"/>
        </row>
        <row r="661">
          <cell r="CF661"/>
        </row>
        <row r="662">
          <cell r="CF662"/>
        </row>
        <row r="663">
          <cell r="CF663"/>
        </row>
        <row r="664">
          <cell r="CF664"/>
        </row>
        <row r="665">
          <cell r="CF665"/>
        </row>
        <row r="666">
          <cell r="CF666"/>
        </row>
        <row r="667">
          <cell r="CF667"/>
        </row>
        <row r="668">
          <cell r="CF668"/>
        </row>
        <row r="669">
          <cell r="CF669"/>
        </row>
        <row r="670">
          <cell r="CF670"/>
        </row>
        <row r="671">
          <cell r="CF671"/>
        </row>
        <row r="672">
          <cell r="CF672"/>
        </row>
        <row r="673">
          <cell r="CF673"/>
        </row>
        <row r="674">
          <cell r="CF674"/>
        </row>
        <row r="675">
          <cell r="CF675"/>
        </row>
        <row r="676">
          <cell r="CF67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rvice@knightcontrols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K2"/>
  <sheetViews>
    <sheetView topLeftCell="H1" workbookViewId="0">
      <selection activeCell="J2" sqref="J2"/>
    </sheetView>
  </sheetViews>
  <sheetFormatPr defaultRowHeight="15" x14ac:dyDescent="0.25"/>
  <cols>
    <col min="1" max="8" width="16" customWidth="1"/>
    <col min="9" max="9" width="26.28515625" customWidth="1"/>
    <col min="10" max="10" width="43.42578125" customWidth="1"/>
    <col min="11" max="11" width="94.140625" customWidth="1"/>
    <col min="12" max="12" width="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7</v>
      </c>
      <c r="J1" t="s">
        <v>8</v>
      </c>
      <c r="K1" t="s">
        <v>9</v>
      </c>
    </row>
    <row r="2" spans="1:11" x14ac:dyDescent="0.25">
      <c r="A2" s="1" t="s">
        <v>10</v>
      </c>
      <c r="B2" s="1" t="s">
        <v>11</v>
      </c>
      <c r="C2" s="1"/>
      <c r="D2" s="1" t="s">
        <v>12</v>
      </c>
      <c r="E2" s="1"/>
      <c r="F2" s="1" t="s">
        <v>13</v>
      </c>
      <c r="G2" s="1" t="s">
        <v>14</v>
      </c>
      <c r="H2" s="1" t="s">
        <v>15</v>
      </c>
      <c r="I2" s="1" t="s">
        <v>16</v>
      </c>
      <c r="J2" s="4" t="s">
        <v>17</v>
      </c>
      <c r="K2" s="2"/>
    </row>
  </sheetData>
  <hyperlinks>
    <hyperlink ref="J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B1:O8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8" sqref="E18"/>
    </sheetView>
  </sheetViews>
  <sheetFormatPr defaultRowHeight="15" x14ac:dyDescent="0.25"/>
  <cols>
    <col min="2" max="2" width="13.140625" customWidth="1"/>
    <col min="3" max="15" width="34.7109375" customWidth="1"/>
  </cols>
  <sheetData>
    <row r="1" spans="2:15" x14ac:dyDescent="0.25">
      <c r="C1" s="26"/>
      <c r="D1" s="26"/>
      <c r="E1" s="28"/>
      <c r="F1" s="3"/>
      <c r="G1" s="29"/>
      <c r="J1" s="26"/>
      <c r="K1" s="14"/>
      <c r="L1" s="26"/>
      <c r="M1" s="27"/>
    </row>
    <row r="2" spans="2:15" ht="22.5" customHeight="1" x14ac:dyDescent="0.25">
      <c r="B2" s="33" t="s">
        <v>18</v>
      </c>
      <c r="C2" s="33" t="s">
        <v>19</v>
      </c>
      <c r="D2" s="36" t="s">
        <v>20</v>
      </c>
      <c r="E2" s="34" t="s">
        <v>21</v>
      </c>
      <c r="F2" s="33" t="s">
        <v>22</v>
      </c>
      <c r="G2" s="34" t="s">
        <v>23</v>
      </c>
      <c r="H2" s="34" t="s">
        <v>24</v>
      </c>
      <c r="I2" s="34" t="s">
        <v>25</v>
      </c>
      <c r="J2" s="34" t="s">
        <v>26</v>
      </c>
      <c r="K2" s="34" t="s">
        <v>27</v>
      </c>
      <c r="L2" s="33" t="s">
        <v>28</v>
      </c>
      <c r="M2" s="34" t="s">
        <v>29</v>
      </c>
      <c r="N2" s="34" t="s">
        <v>30</v>
      </c>
      <c r="O2" s="34" t="s">
        <v>31</v>
      </c>
    </row>
    <row r="3" spans="2:15" x14ac:dyDescent="0.25">
      <c r="B3" s="37" t="s">
        <v>32</v>
      </c>
      <c r="C3" s="43"/>
      <c r="D3" s="43"/>
      <c r="E3" s="38"/>
      <c r="F3" s="39"/>
      <c r="G3" s="40"/>
      <c r="H3" s="39"/>
      <c r="I3" s="39"/>
      <c r="J3" s="41"/>
      <c r="K3" s="47"/>
      <c r="L3" s="48"/>
      <c r="M3" s="49"/>
      <c r="N3" s="50"/>
      <c r="O3" s="50"/>
    </row>
    <row r="4" spans="2:15" x14ac:dyDescent="0.25">
      <c r="B4" s="37" t="s">
        <v>33</v>
      </c>
      <c r="C4" s="43"/>
      <c r="D4" s="44"/>
      <c r="E4" s="42"/>
      <c r="F4" s="42"/>
      <c r="G4" s="40"/>
      <c r="H4" s="39"/>
      <c r="I4" s="39"/>
      <c r="J4" s="41"/>
      <c r="K4" s="47"/>
      <c r="L4" s="48"/>
      <c r="M4" s="47"/>
      <c r="N4" s="50"/>
      <c r="O4" s="50"/>
    </row>
    <row r="5" spans="2:15" x14ac:dyDescent="0.25">
      <c r="B5" s="37" t="s">
        <v>34</v>
      </c>
      <c r="C5" s="43"/>
      <c r="D5" s="43"/>
      <c r="E5" s="42"/>
      <c r="F5" s="42"/>
      <c r="G5" s="40"/>
      <c r="H5" s="39"/>
      <c r="I5" s="39"/>
      <c r="J5" s="41"/>
      <c r="K5" s="51"/>
      <c r="L5" s="50"/>
      <c r="M5" s="52"/>
      <c r="N5" s="52"/>
      <c r="O5" s="50"/>
    </row>
    <row r="6" spans="2:15" x14ac:dyDescent="0.25">
      <c r="B6" s="37" t="s">
        <v>35</v>
      </c>
      <c r="C6" s="43"/>
      <c r="D6" s="44"/>
      <c r="E6" s="40"/>
      <c r="F6" s="42"/>
      <c r="G6" s="40"/>
      <c r="H6" s="39"/>
      <c r="I6" s="39"/>
      <c r="J6" s="41"/>
      <c r="K6" s="52"/>
      <c r="L6" s="50"/>
      <c r="M6" s="47"/>
      <c r="N6" s="50"/>
      <c r="O6" s="50"/>
    </row>
    <row r="7" spans="2:15" x14ac:dyDescent="0.25">
      <c r="B7" s="37" t="s">
        <v>36</v>
      </c>
      <c r="C7" s="43"/>
      <c r="D7" s="44"/>
      <c r="E7" s="40"/>
      <c r="F7" s="42"/>
      <c r="G7" s="40"/>
      <c r="H7" s="39"/>
      <c r="I7" s="39"/>
      <c r="J7" s="41"/>
      <c r="K7" s="52"/>
      <c r="L7" s="50"/>
      <c r="M7" s="47"/>
      <c r="N7" s="50"/>
      <c r="O7" s="50"/>
    </row>
    <row r="8" spans="2:15" x14ac:dyDescent="0.25">
      <c r="B8" s="37" t="s">
        <v>37</v>
      </c>
      <c r="C8" s="43"/>
      <c r="D8" s="43"/>
      <c r="E8" s="40"/>
      <c r="F8" s="42"/>
      <c r="G8" s="40"/>
      <c r="H8" s="39"/>
      <c r="I8" s="39"/>
      <c r="J8" s="41"/>
      <c r="K8" s="51"/>
      <c r="L8" s="50"/>
      <c r="M8" s="52"/>
      <c r="N8" s="52"/>
      <c r="O8" s="52"/>
    </row>
    <row r="9" spans="2:15" x14ac:dyDescent="0.25">
      <c r="B9" s="37" t="s">
        <v>38</v>
      </c>
      <c r="C9" s="43"/>
      <c r="D9" s="44"/>
      <c r="E9" s="40"/>
      <c r="F9" s="42"/>
      <c r="G9" s="40"/>
      <c r="H9" s="39"/>
      <c r="I9" s="39"/>
      <c r="J9" s="41"/>
      <c r="K9" s="50"/>
      <c r="L9" s="50"/>
      <c r="M9" s="52"/>
      <c r="N9" s="50"/>
      <c r="O9" s="50"/>
    </row>
    <row r="10" spans="2:15" x14ac:dyDescent="0.25">
      <c r="B10" s="37" t="s">
        <v>39</v>
      </c>
      <c r="C10" s="43"/>
      <c r="D10" s="44"/>
      <c r="E10" s="40"/>
      <c r="F10" s="42"/>
      <c r="G10" s="40"/>
      <c r="H10" s="39"/>
      <c r="I10" s="39"/>
      <c r="J10" s="41"/>
      <c r="K10" s="50"/>
      <c r="L10" s="50"/>
      <c r="M10" s="52"/>
      <c r="N10" s="50"/>
      <c r="O10" s="50"/>
    </row>
    <row r="11" spans="2:15" x14ac:dyDescent="0.25">
      <c r="B11" s="37" t="s">
        <v>40</v>
      </c>
      <c r="C11" s="43"/>
      <c r="D11" s="43"/>
      <c r="E11" s="40"/>
      <c r="F11" s="42"/>
      <c r="G11" s="40"/>
      <c r="H11" s="39"/>
      <c r="I11" s="39"/>
      <c r="J11" s="41"/>
      <c r="K11" s="50"/>
      <c r="L11" s="50"/>
      <c r="M11" s="52"/>
      <c r="N11" s="50"/>
      <c r="O11" s="50"/>
    </row>
    <row r="12" spans="2:15" x14ac:dyDescent="0.25">
      <c r="C12" s="14"/>
      <c r="D12" s="14"/>
      <c r="G12" s="14"/>
      <c r="J12" s="16"/>
      <c r="K12" s="14"/>
      <c r="L12" s="14"/>
      <c r="M12" s="14"/>
    </row>
    <row r="13" spans="2:15" x14ac:dyDescent="0.25">
      <c r="C13" s="35" t="s">
        <v>41</v>
      </c>
      <c r="D13" s="14"/>
      <c r="G13" s="14"/>
      <c r="J13" s="16"/>
      <c r="K13" s="14"/>
      <c r="L13" s="14"/>
      <c r="M13" s="14"/>
    </row>
    <row r="14" spans="2:15" x14ac:dyDescent="0.25">
      <c r="C14" s="45" t="s">
        <v>42</v>
      </c>
      <c r="D14" s="14"/>
      <c r="G14" s="14"/>
      <c r="J14" s="16"/>
      <c r="K14" s="14"/>
      <c r="M14" s="14"/>
    </row>
    <row r="15" spans="2:15" x14ac:dyDescent="0.25">
      <c r="C15" s="46" t="s">
        <v>43</v>
      </c>
      <c r="D15" s="14"/>
      <c r="G15" s="14"/>
      <c r="J15" s="16"/>
      <c r="K15" s="14"/>
      <c r="M15" s="14"/>
    </row>
    <row r="16" spans="2:15" x14ac:dyDescent="0.25">
      <c r="C16" s="14"/>
      <c r="D16" s="14"/>
      <c r="J16" s="16"/>
      <c r="K16" s="14"/>
      <c r="L16" s="14"/>
      <c r="M16" s="14"/>
    </row>
    <row r="17" spans="3:13" x14ac:dyDescent="0.25">
      <c r="C17" s="14"/>
      <c r="D17" s="14"/>
      <c r="G17" s="14"/>
      <c r="J17" s="16"/>
      <c r="K17" s="14"/>
      <c r="M17" s="14"/>
    </row>
    <row r="18" spans="3:13" x14ac:dyDescent="0.25">
      <c r="C18" s="14"/>
      <c r="D18" s="14"/>
      <c r="G18" s="14"/>
      <c r="J18" s="16"/>
      <c r="M18" s="14"/>
    </row>
    <row r="19" spans="3:13" x14ac:dyDescent="0.25">
      <c r="C19" s="14"/>
      <c r="D19" s="14"/>
      <c r="G19" s="14"/>
      <c r="J19" s="16"/>
      <c r="K19" s="14"/>
      <c r="M19" s="14"/>
    </row>
    <row r="20" spans="3:13" x14ac:dyDescent="0.25">
      <c r="C20" s="14"/>
      <c r="D20" s="14"/>
      <c r="G20" s="14"/>
      <c r="J20" s="16"/>
      <c r="K20" s="14"/>
      <c r="M20" s="14"/>
    </row>
    <row r="21" spans="3:13" x14ac:dyDescent="0.25">
      <c r="C21" s="14"/>
      <c r="D21" s="14"/>
      <c r="G21" s="14"/>
      <c r="J21" s="16"/>
      <c r="M21" s="14"/>
    </row>
    <row r="22" spans="3:13" x14ac:dyDescent="0.25">
      <c r="C22" s="14"/>
      <c r="D22" s="14"/>
      <c r="F22" s="14"/>
      <c r="G22" s="14"/>
      <c r="J22" s="16"/>
      <c r="K22" s="14"/>
      <c r="M22" s="14"/>
    </row>
    <row r="23" spans="3:13" x14ac:dyDescent="0.25">
      <c r="C23" s="14"/>
      <c r="D23" s="14"/>
      <c r="G23" s="14"/>
      <c r="J23" s="16"/>
      <c r="M23" s="14"/>
    </row>
    <row r="24" spans="3:13" x14ac:dyDescent="0.25">
      <c r="C24" s="14"/>
      <c r="D24" s="14"/>
      <c r="G24" s="14"/>
      <c r="J24" s="16"/>
      <c r="K24" s="14"/>
      <c r="M24" s="14"/>
    </row>
    <row r="25" spans="3:13" x14ac:dyDescent="0.25">
      <c r="C25" s="14"/>
      <c r="D25" s="14"/>
      <c r="G25" s="14"/>
      <c r="J25" s="16"/>
      <c r="M25" s="14"/>
    </row>
    <row r="26" spans="3:13" x14ac:dyDescent="0.25">
      <c r="C26" s="14"/>
      <c r="D26" s="14"/>
      <c r="G26" s="14"/>
      <c r="J26" s="16"/>
      <c r="K26" s="14"/>
      <c r="M26" s="14"/>
    </row>
    <row r="27" spans="3:13" x14ac:dyDescent="0.25">
      <c r="C27" s="14"/>
      <c r="D27" s="14"/>
      <c r="G27" s="14"/>
      <c r="J27" s="16"/>
      <c r="K27" s="14"/>
      <c r="M27" s="14"/>
    </row>
    <row r="28" spans="3:13" x14ac:dyDescent="0.25">
      <c r="C28" s="14"/>
      <c r="D28" s="14"/>
      <c r="G28" s="14"/>
      <c r="J28" s="16"/>
      <c r="K28" s="14"/>
      <c r="M28" s="14"/>
    </row>
    <row r="29" spans="3:13" x14ac:dyDescent="0.25">
      <c r="C29" s="14"/>
      <c r="D29" s="14"/>
      <c r="G29" s="14"/>
      <c r="J29" s="16"/>
      <c r="K29" s="14"/>
      <c r="M29" s="14"/>
    </row>
    <row r="30" spans="3:13" x14ac:dyDescent="0.25">
      <c r="C30" s="14"/>
      <c r="D30" s="14"/>
      <c r="G30" s="14"/>
      <c r="J30" s="16"/>
      <c r="K30" s="14"/>
      <c r="M30" s="14"/>
    </row>
    <row r="31" spans="3:13" x14ac:dyDescent="0.25">
      <c r="C31" s="14"/>
      <c r="D31" s="14"/>
      <c r="G31" s="14"/>
      <c r="J31" s="16"/>
      <c r="K31" s="14"/>
      <c r="M31" s="14"/>
    </row>
    <row r="32" spans="3:13" x14ac:dyDescent="0.25">
      <c r="C32" s="14"/>
      <c r="D32" s="14"/>
      <c r="G32" s="14"/>
      <c r="J32" s="16"/>
      <c r="K32" s="14"/>
      <c r="L32" s="14"/>
      <c r="M32" s="14"/>
    </row>
    <row r="33" spans="3:13" x14ac:dyDescent="0.25">
      <c r="C33" s="14"/>
      <c r="D33" s="14"/>
      <c r="G33" s="14"/>
      <c r="J33" s="16"/>
      <c r="K33" s="14"/>
      <c r="L33" s="14"/>
      <c r="M33" s="14"/>
    </row>
    <row r="34" spans="3:13" x14ac:dyDescent="0.25">
      <c r="C34" s="14"/>
      <c r="D34" s="14"/>
      <c r="G34" s="14"/>
      <c r="J34" s="16"/>
      <c r="K34" s="14"/>
      <c r="L34" s="14"/>
      <c r="M34" s="14"/>
    </row>
    <row r="35" spans="3:13" x14ac:dyDescent="0.25">
      <c r="C35" s="14"/>
      <c r="D35" s="14"/>
      <c r="G35" s="14"/>
      <c r="J35" s="16"/>
      <c r="K35" s="14"/>
      <c r="L35" s="14"/>
      <c r="M35" s="14"/>
    </row>
    <row r="36" spans="3:13" x14ac:dyDescent="0.25">
      <c r="C36" s="14"/>
      <c r="D36" s="14"/>
      <c r="G36" s="14"/>
      <c r="J36" s="16"/>
      <c r="K36" s="14"/>
      <c r="L36" s="14"/>
      <c r="M36" s="14"/>
    </row>
    <row r="37" spans="3:13" x14ac:dyDescent="0.25">
      <c r="C37" s="14"/>
      <c r="D37" s="14"/>
      <c r="G37" s="14"/>
      <c r="J37" s="16"/>
      <c r="K37" s="14"/>
      <c r="L37" s="14"/>
      <c r="M37" s="14"/>
    </row>
    <row r="38" spans="3:13" x14ac:dyDescent="0.25">
      <c r="C38" s="14"/>
      <c r="D38" s="14"/>
      <c r="G38" s="14"/>
      <c r="J38" s="16"/>
      <c r="K38" s="14"/>
      <c r="L38" s="14"/>
      <c r="M38" s="14"/>
    </row>
    <row r="39" spans="3:13" x14ac:dyDescent="0.25">
      <c r="C39" s="14"/>
      <c r="D39" s="14"/>
      <c r="G39" s="14"/>
      <c r="J39" s="16"/>
      <c r="K39" s="14"/>
      <c r="L39" s="14"/>
      <c r="M39" s="14"/>
    </row>
    <row r="40" spans="3:13" x14ac:dyDescent="0.25">
      <c r="C40" s="14"/>
      <c r="D40" s="14"/>
      <c r="G40" s="14"/>
      <c r="J40" s="16"/>
      <c r="K40" s="14"/>
      <c r="L40" s="14"/>
      <c r="M40" s="14"/>
    </row>
    <row r="41" spans="3:13" x14ac:dyDescent="0.25">
      <c r="C41" s="14"/>
      <c r="D41" s="14"/>
      <c r="G41" s="14"/>
      <c r="J41" s="16"/>
      <c r="K41" s="14"/>
      <c r="L41" s="14"/>
      <c r="M41" s="14"/>
    </row>
    <row r="42" spans="3:13" x14ac:dyDescent="0.25">
      <c r="C42" s="14"/>
      <c r="D42" s="14"/>
      <c r="G42" s="14"/>
      <c r="J42" s="16"/>
      <c r="K42" s="14"/>
      <c r="L42" s="14"/>
      <c r="M42" s="14"/>
    </row>
    <row r="43" spans="3:13" x14ac:dyDescent="0.25">
      <c r="C43" s="14"/>
      <c r="D43" s="14"/>
      <c r="G43" s="14"/>
      <c r="J43" s="16"/>
      <c r="K43" s="14"/>
      <c r="L43" s="14"/>
      <c r="M43" s="14"/>
    </row>
    <row r="44" spans="3:13" x14ac:dyDescent="0.25">
      <c r="C44" s="14"/>
      <c r="D44" s="14"/>
      <c r="G44" s="14"/>
      <c r="J44" s="16"/>
      <c r="K44" s="14"/>
      <c r="L44" s="14"/>
      <c r="M44" s="14"/>
    </row>
    <row r="45" spans="3:13" x14ac:dyDescent="0.25">
      <c r="C45" s="14"/>
      <c r="D45" s="14"/>
      <c r="G45" s="14"/>
      <c r="J45" s="16"/>
      <c r="K45" s="14"/>
      <c r="L45" s="14"/>
      <c r="M45" s="14"/>
    </row>
    <row r="46" spans="3:13" x14ac:dyDescent="0.25">
      <c r="C46" s="14"/>
      <c r="D46" s="14"/>
      <c r="G46" s="14"/>
      <c r="J46" s="16"/>
      <c r="K46" s="14"/>
      <c r="L46" s="14"/>
      <c r="M46" s="14"/>
    </row>
    <row r="47" spans="3:13" x14ac:dyDescent="0.25">
      <c r="C47" s="14"/>
      <c r="D47" s="14"/>
      <c r="G47" s="14"/>
      <c r="J47" s="16"/>
      <c r="K47" s="14"/>
      <c r="L47" s="14"/>
      <c r="M47" s="14"/>
    </row>
    <row r="48" spans="3:13" x14ac:dyDescent="0.25">
      <c r="C48" s="14"/>
      <c r="D48" s="14"/>
      <c r="G48" s="14"/>
      <c r="J48" s="16"/>
      <c r="K48" s="14"/>
      <c r="L48" s="14"/>
      <c r="M48" s="14"/>
    </row>
    <row r="49" spans="3:13" x14ac:dyDescent="0.25">
      <c r="C49" s="14"/>
      <c r="D49" s="14"/>
      <c r="G49" s="14"/>
      <c r="J49" s="16"/>
      <c r="K49" s="14"/>
      <c r="L49" s="14"/>
      <c r="M49" s="14"/>
    </row>
    <row r="50" spans="3:13" x14ac:dyDescent="0.25">
      <c r="C50" s="14"/>
      <c r="D50" s="14"/>
      <c r="G50" s="14"/>
      <c r="J50" s="16"/>
      <c r="K50" s="14"/>
      <c r="L50" s="14"/>
      <c r="M50" s="14"/>
    </row>
    <row r="51" spans="3:13" x14ac:dyDescent="0.25">
      <c r="C51" s="14"/>
      <c r="D51" s="14"/>
      <c r="G51" s="14"/>
      <c r="J51" s="16"/>
      <c r="K51" s="14"/>
      <c r="L51" s="14"/>
      <c r="M51" s="14"/>
    </row>
    <row r="52" spans="3:13" x14ac:dyDescent="0.25">
      <c r="C52" s="14"/>
      <c r="D52" s="14"/>
      <c r="G52" s="14"/>
      <c r="J52" s="16"/>
      <c r="K52" s="14"/>
      <c r="L52" s="14"/>
      <c r="M52" s="14"/>
    </row>
    <row r="53" spans="3:13" x14ac:dyDescent="0.25">
      <c r="C53" s="14"/>
      <c r="D53" s="14"/>
      <c r="G53" s="14"/>
      <c r="J53" s="16"/>
      <c r="K53" s="14"/>
      <c r="L53" s="14"/>
      <c r="M53" s="14"/>
    </row>
    <row r="54" spans="3:13" x14ac:dyDescent="0.25">
      <c r="C54" s="14"/>
      <c r="D54" s="14"/>
      <c r="E54" s="14"/>
      <c r="G54" s="14"/>
      <c r="J54" s="16"/>
      <c r="K54" s="14"/>
      <c r="L54" s="14"/>
      <c r="M54" s="14"/>
    </row>
    <row r="55" spans="3:13" x14ac:dyDescent="0.25">
      <c r="C55" s="14"/>
      <c r="D55" s="14"/>
      <c r="E55" s="14"/>
      <c r="G55" s="14"/>
      <c r="J55" s="16"/>
      <c r="K55" s="14"/>
      <c r="L55" s="14"/>
      <c r="M55" s="14"/>
    </row>
    <row r="56" spans="3:13" x14ac:dyDescent="0.25">
      <c r="C56" s="14"/>
      <c r="D56" s="14"/>
      <c r="E56" s="14"/>
      <c r="G56" s="14"/>
      <c r="J56" s="16"/>
      <c r="K56" s="14"/>
      <c r="L56" s="14"/>
      <c r="M56" s="14"/>
    </row>
    <row r="57" spans="3:13" x14ac:dyDescent="0.25">
      <c r="C57" s="14"/>
      <c r="D57" s="14"/>
      <c r="E57" s="14"/>
      <c r="G57" s="14"/>
      <c r="J57" s="16"/>
      <c r="K57" s="14"/>
      <c r="L57" s="14"/>
      <c r="M57" s="14"/>
    </row>
    <row r="58" spans="3:13" x14ac:dyDescent="0.25">
      <c r="C58" s="14"/>
      <c r="D58" s="14"/>
      <c r="E58" s="14"/>
      <c r="G58" s="14"/>
      <c r="J58" s="16"/>
      <c r="K58" s="14"/>
      <c r="L58" s="14"/>
      <c r="M58" s="14"/>
    </row>
    <row r="59" spans="3:13" x14ac:dyDescent="0.25">
      <c r="C59" s="14"/>
      <c r="D59" s="14"/>
      <c r="E59" s="14"/>
      <c r="G59" s="14"/>
      <c r="J59" s="16"/>
      <c r="K59" s="14"/>
      <c r="L59" s="14"/>
      <c r="M59" s="14"/>
    </row>
    <row r="60" spans="3:13" x14ac:dyDescent="0.25">
      <c r="C60" s="14"/>
      <c r="D60" s="14"/>
      <c r="E60" s="14"/>
      <c r="G60" s="14"/>
      <c r="J60" s="16"/>
      <c r="K60" s="14"/>
      <c r="L60" s="14"/>
      <c r="M60" s="14"/>
    </row>
    <row r="61" spans="3:13" x14ac:dyDescent="0.25">
      <c r="C61" s="14"/>
      <c r="D61" s="14"/>
      <c r="E61" s="14"/>
      <c r="F61" s="14"/>
      <c r="G61" s="14"/>
      <c r="J61" s="16"/>
      <c r="K61" s="14"/>
      <c r="L61" s="14"/>
      <c r="M61" s="14"/>
    </row>
    <row r="62" spans="3:13" x14ac:dyDescent="0.25">
      <c r="C62" s="14"/>
      <c r="D62" s="14"/>
      <c r="E62" s="14"/>
      <c r="F62" s="14"/>
      <c r="G62" s="14"/>
      <c r="J62" s="16"/>
      <c r="K62" s="14"/>
      <c r="L62" s="14"/>
      <c r="M62" s="14"/>
    </row>
    <row r="63" spans="3:13" x14ac:dyDescent="0.25">
      <c r="C63" s="14"/>
      <c r="D63" s="14"/>
      <c r="E63" s="14"/>
      <c r="F63" s="14"/>
      <c r="G63" s="14"/>
      <c r="J63" s="16"/>
      <c r="K63" s="14"/>
      <c r="L63" s="14"/>
      <c r="M63" s="14"/>
    </row>
    <row r="64" spans="3:13" x14ac:dyDescent="0.25">
      <c r="C64" s="14"/>
      <c r="D64" s="14"/>
      <c r="E64" s="14"/>
      <c r="F64" s="14"/>
      <c r="G64" s="14"/>
      <c r="J64" s="16"/>
      <c r="K64" s="14"/>
      <c r="L64" s="14"/>
      <c r="M64" s="14"/>
    </row>
    <row r="65" spans="3:13" x14ac:dyDescent="0.25">
      <c r="C65" s="14"/>
      <c r="D65" s="14"/>
      <c r="E65" s="14"/>
      <c r="F65" s="14"/>
      <c r="G65" s="14"/>
      <c r="J65" s="16"/>
      <c r="K65" s="14"/>
      <c r="L65" s="14"/>
      <c r="M65" s="14"/>
    </row>
    <row r="66" spans="3:13" x14ac:dyDescent="0.25">
      <c r="C66" s="14"/>
      <c r="D66" s="14"/>
      <c r="E66" s="14"/>
      <c r="F66" s="14"/>
      <c r="G66" s="14"/>
      <c r="J66" s="16"/>
      <c r="K66" s="14"/>
      <c r="L66" s="14"/>
      <c r="M66" s="14"/>
    </row>
    <row r="67" spans="3:13" x14ac:dyDescent="0.25">
      <c r="C67" s="14"/>
      <c r="D67" s="14"/>
      <c r="E67" s="14"/>
      <c r="F67" s="14"/>
      <c r="G67" s="14"/>
      <c r="J67" s="16"/>
      <c r="K67" s="14"/>
      <c r="L67" s="14"/>
      <c r="M67" s="14"/>
    </row>
    <row r="68" spans="3:13" x14ac:dyDescent="0.25">
      <c r="C68" s="14"/>
      <c r="D68" s="14"/>
      <c r="E68" s="14"/>
      <c r="F68" s="14"/>
      <c r="G68" s="14"/>
      <c r="J68" s="16"/>
      <c r="K68" s="14"/>
      <c r="L68" s="14"/>
      <c r="M68" s="14"/>
    </row>
    <row r="69" spans="3:13" x14ac:dyDescent="0.25">
      <c r="C69" s="14"/>
      <c r="D69" s="14"/>
      <c r="E69" s="14"/>
      <c r="F69" s="14"/>
      <c r="G69" s="14"/>
      <c r="J69" s="16"/>
      <c r="K69" s="14"/>
      <c r="L69" s="14"/>
      <c r="M69" s="14"/>
    </row>
    <row r="70" spans="3:13" x14ac:dyDescent="0.25">
      <c r="C70" s="14"/>
      <c r="D70" s="14"/>
      <c r="E70" s="14"/>
      <c r="F70" s="14"/>
      <c r="G70" s="14"/>
      <c r="J70" s="16"/>
      <c r="K70" s="14"/>
      <c r="L70" s="14"/>
      <c r="M70" s="14"/>
    </row>
    <row r="71" spans="3:13" x14ac:dyDescent="0.25">
      <c r="C71" s="14"/>
      <c r="D71" s="14"/>
      <c r="E71" s="14"/>
      <c r="F71" s="14"/>
      <c r="G71" s="14"/>
      <c r="J71" s="16"/>
      <c r="K71" s="14"/>
      <c r="L71" s="14"/>
      <c r="M71" s="14"/>
    </row>
    <row r="72" spans="3:13" x14ac:dyDescent="0.25">
      <c r="C72" s="14"/>
      <c r="D72" s="14"/>
      <c r="E72" s="14"/>
      <c r="F72" s="14"/>
      <c r="G72" s="14"/>
      <c r="J72" s="16"/>
      <c r="K72" s="14"/>
      <c r="L72" s="14"/>
      <c r="M72" s="14"/>
    </row>
    <row r="73" spans="3:13" x14ac:dyDescent="0.25">
      <c r="C73" s="14"/>
      <c r="D73" s="14"/>
      <c r="E73" s="14"/>
      <c r="F73" s="14"/>
      <c r="G73" s="14"/>
      <c r="J73" s="16"/>
      <c r="K73" s="14"/>
      <c r="L73" s="14"/>
      <c r="M73" s="14"/>
    </row>
    <row r="74" spans="3:13" x14ac:dyDescent="0.25">
      <c r="C74" s="14"/>
      <c r="D74" s="14"/>
      <c r="E74" s="14"/>
      <c r="F74" s="14"/>
      <c r="G74" s="14"/>
      <c r="J74" s="16"/>
      <c r="K74" s="14"/>
      <c r="L74" s="14"/>
      <c r="M74" s="14"/>
    </row>
    <row r="75" spans="3:13" x14ac:dyDescent="0.25">
      <c r="C75" s="14"/>
      <c r="D75" s="14"/>
      <c r="E75" s="14"/>
      <c r="F75" s="14"/>
      <c r="G75" s="14"/>
      <c r="J75" s="16"/>
      <c r="K75" s="14"/>
      <c r="L75" s="14"/>
      <c r="M75" s="14"/>
    </row>
    <row r="76" spans="3:13" x14ac:dyDescent="0.25">
      <c r="C76" s="14"/>
      <c r="D76" s="14"/>
      <c r="E76" s="14"/>
      <c r="F76" s="14"/>
      <c r="G76" s="14"/>
      <c r="J76" s="16"/>
      <c r="K76" s="14"/>
      <c r="L76" s="14"/>
      <c r="M76" s="14"/>
    </row>
    <row r="77" spans="3:13" x14ac:dyDescent="0.25">
      <c r="C77" s="14"/>
      <c r="D77" s="14"/>
      <c r="E77" s="14"/>
      <c r="F77" s="14"/>
      <c r="G77" s="14"/>
      <c r="J77" s="16"/>
      <c r="K77" s="14"/>
      <c r="L77" s="14"/>
      <c r="M77" s="14"/>
    </row>
    <row r="78" spans="3:13" x14ac:dyDescent="0.25">
      <c r="C78" s="14"/>
      <c r="D78" s="14"/>
      <c r="E78" s="14"/>
      <c r="F78" s="14"/>
      <c r="G78" s="14"/>
      <c r="J78" s="16"/>
      <c r="K78" s="14"/>
      <c r="L78" s="14"/>
      <c r="M78" s="14"/>
    </row>
    <row r="79" spans="3:13" x14ac:dyDescent="0.25">
      <c r="C79" s="14"/>
      <c r="D79" s="14"/>
      <c r="E79" s="14"/>
      <c r="F79" s="14"/>
      <c r="G79" s="14"/>
      <c r="J79" s="16"/>
      <c r="K79" s="14"/>
      <c r="L79" s="14"/>
      <c r="M79" s="14"/>
    </row>
    <row r="80" spans="3:13" x14ac:dyDescent="0.25">
      <c r="C80" s="14"/>
      <c r="D80" s="14"/>
      <c r="E80" s="14"/>
      <c r="F80" s="14"/>
      <c r="G80" s="14"/>
      <c r="J80" s="16"/>
      <c r="K80" s="14"/>
      <c r="L80" s="14"/>
      <c r="M80" s="14"/>
    </row>
    <row r="81" spans="3:13" x14ac:dyDescent="0.25">
      <c r="C81" s="14"/>
      <c r="D81" s="14"/>
      <c r="E81" s="14"/>
      <c r="F81" s="14"/>
      <c r="G81" s="14"/>
      <c r="J81" s="16"/>
      <c r="K81" s="14"/>
      <c r="L81" s="14"/>
      <c r="M81" s="14"/>
    </row>
    <row r="82" spans="3:13" x14ac:dyDescent="0.25">
      <c r="C82" s="14"/>
      <c r="D82" s="14"/>
      <c r="E82" s="14"/>
      <c r="F82" s="14"/>
      <c r="G82" s="14"/>
      <c r="J82" s="16"/>
      <c r="K82" s="14"/>
      <c r="L82" s="14"/>
      <c r="M82" s="14"/>
    </row>
    <row r="83" spans="3:13" x14ac:dyDescent="0.25">
      <c r="C83" s="14"/>
      <c r="D83" s="14"/>
      <c r="E83" s="14"/>
      <c r="F83" s="14"/>
      <c r="G83" s="14"/>
      <c r="J83" s="16"/>
      <c r="K83" s="14"/>
      <c r="L83" s="14"/>
      <c r="M83" s="14"/>
    </row>
    <row r="84" spans="3:13" x14ac:dyDescent="0.25">
      <c r="C84" s="14"/>
      <c r="D84" s="14"/>
      <c r="E84" s="14"/>
      <c r="F84" s="14"/>
      <c r="G84" s="14"/>
      <c r="J84" s="16"/>
      <c r="K84" s="14"/>
      <c r="L84" s="14"/>
      <c r="M84" s="14"/>
    </row>
    <row r="85" spans="3:13" x14ac:dyDescent="0.25">
      <c r="C85" s="14"/>
      <c r="D85" s="14"/>
      <c r="E85" s="14"/>
      <c r="F85" s="14"/>
      <c r="G85" s="14"/>
      <c r="J85" s="16"/>
      <c r="K85" s="14"/>
      <c r="L85" s="14"/>
      <c r="M85" s="14"/>
    </row>
    <row r="86" spans="3:13" x14ac:dyDescent="0.25">
      <c r="C86" s="14"/>
      <c r="D86" s="14"/>
      <c r="E86" s="14"/>
      <c r="F86" s="14"/>
      <c r="G86" s="14"/>
      <c r="J86" s="16"/>
      <c r="K86" s="14"/>
      <c r="L86" s="14"/>
      <c r="M86" s="14"/>
    </row>
  </sheetData>
  <conditionalFormatting sqref="C3:C11 D2:D3 D5 D8 D11 E6:E11 K6:K7 M5:N5 M8:O8 M9:M11">
    <cfRule type="duplicateValues" dxfId="106" priority="764"/>
  </conditionalFormatting>
  <conditionalFormatting sqref="C3:C11 D2:D3 D5 D8 D11">
    <cfRule type="duplicateValues" dxfId="105" priority="759"/>
  </conditionalFormatting>
  <conditionalFormatting sqref="E1 E3">
    <cfRule type="duplicateValues" dxfId="104" priority="35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N52"/>
  <sheetViews>
    <sheetView zoomScaleNormal="100" workbookViewId="0">
      <selection activeCell="B45" sqref="B45"/>
    </sheetView>
  </sheetViews>
  <sheetFormatPr defaultRowHeight="15" x14ac:dyDescent="0.25"/>
  <cols>
    <col min="1" max="1" width="16" style="1" customWidth="1"/>
    <col min="2" max="2" width="27.28515625" style="1" customWidth="1"/>
    <col min="3" max="3" width="51" style="1" customWidth="1"/>
    <col min="4" max="4" width="33.85546875" style="1" customWidth="1"/>
    <col min="5" max="8" width="16" style="1" hidden="1" customWidth="1"/>
    <col min="9" max="9" width="26.28515625" style="1" hidden="1" customWidth="1"/>
    <col min="10" max="14" width="12.7109375" style="1" customWidth="1"/>
    <col min="15" max="16" width="9.140625" style="1" customWidth="1"/>
    <col min="17" max="16384" width="9.140625" style="1"/>
  </cols>
  <sheetData>
    <row r="1" spans="1:14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25">
      <c r="A2"/>
      <c r="B2"/>
      <c r="C2"/>
      <c r="D2" s="5"/>
      <c r="E2"/>
      <c r="F2"/>
      <c r="G2"/>
      <c r="H2"/>
      <c r="I2"/>
      <c r="J2"/>
      <c r="K2"/>
      <c r="L2"/>
      <c r="M2"/>
      <c r="N2"/>
    </row>
    <row r="3" spans="1:14" x14ac:dyDescent="0.25">
      <c r="A3"/>
      <c r="B3"/>
      <c r="C3"/>
      <c r="D3" s="5"/>
      <c r="E3"/>
      <c r="F3"/>
      <c r="G3"/>
      <c r="H3"/>
      <c r="I3"/>
      <c r="J3"/>
      <c r="K3"/>
      <c r="L3"/>
      <c r="M3"/>
      <c r="N3"/>
    </row>
    <row r="4" spans="1:14" x14ac:dyDescent="0.25">
      <c r="A4"/>
      <c r="B4"/>
      <c r="C4"/>
      <c r="D4" s="5"/>
      <c r="E4"/>
      <c r="F4"/>
      <c r="G4"/>
      <c r="H4"/>
      <c r="I4"/>
      <c r="J4"/>
      <c r="K4"/>
      <c r="L4"/>
      <c r="M4"/>
      <c r="N4"/>
    </row>
    <row r="5" spans="1:14" x14ac:dyDescent="0.25">
      <c r="A5"/>
      <c r="B5"/>
      <c r="C5"/>
      <c r="D5" s="5"/>
      <c r="E5"/>
      <c r="F5"/>
      <c r="G5"/>
      <c r="H5"/>
      <c r="I5"/>
      <c r="J5"/>
      <c r="K5"/>
      <c r="L5"/>
      <c r="M5"/>
      <c r="N5"/>
    </row>
    <row r="6" spans="1:14" x14ac:dyDescent="0.25">
      <c r="A6"/>
      <c r="B6"/>
      <c r="C6"/>
      <c r="D6" s="5"/>
      <c r="E6"/>
      <c r="F6"/>
      <c r="G6"/>
      <c r="H6"/>
      <c r="I6"/>
      <c r="J6"/>
      <c r="K6"/>
      <c r="L6"/>
      <c r="M6"/>
      <c r="N6"/>
    </row>
    <row r="7" spans="1:14" x14ac:dyDescent="0.25">
      <c r="A7"/>
      <c r="B7"/>
      <c r="C7"/>
      <c r="D7" s="5"/>
      <c r="E7"/>
      <c r="F7"/>
      <c r="G7"/>
      <c r="H7"/>
      <c r="I7"/>
      <c r="J7"/>
      <c r="K7"/>
      <c r="L7"/>
      <c r="M7"/>
      <c r="N7"/>
    </row>
    <row r="8" spans="1:14" x14ac:dyDescent="0.25">
      <c r="A8"/>
      <c r="B8"/>
      <c r="C8"/>
      <c r="D8" s="5"/>
      <c r="E8"/>
      <c r="F8"/>
      <c r="G8"/>
      <c r="H8"/>
      <c r="I8"/>
      <c r="J8"/>
      <c r="K8"/>
      <c r="L8"/>
      <c r="M8"/>
      <c r="N8"/>
    </row>
    <row r="9" spans="1:14" x14ac:dyDescent="0.25">
      <c r="A9"/>
      <c r="B9"/>
      <c r="C9"/>
      <c r="D9" s="5"/>
      <c r="E9"/>
      <c r="F9"/>
      <c r="G9"/>
      <c r="H9"/>
      <c r="I9"/>
      <c r="J9"/>
      <c r="K9"/>
      <c r="L9"/>
      <c r="M9"/>
      <c r="N9"/>
    </row>
    <row r="10" spans="1:14" x14ac:dyDescent="0.25">
      <c r="A10"/>
      <c r="B10"/>
      <c r="C10"/>
      <c r="D10" s="5"/>
      <c r="E10"/>
      <c r="F10"/>
      <c r="G10"/>
      <c r="H10"/>
      <c r="I10"/>
      <c r="J10"/>
      <c r="K10"/>
      <c r="L10"/>
      <c r="M10"/>
      <c r="N10"/>
    </row>
    <row r="11" spans="1:14" x14ac:dyDescent="0.25">
      <c r="A11"/>
      <c r="B11"/>
      <c r="C11"/>
      <c r="D11" s="5"/>
      <c r="E11"/>
      <c r="F11"/>
      <c r="G11"/>
      <c r="H11"/>
      <c r="I11"/>
      <c r="J11"/>
      <c r="K11"/>
      <c r="L11"/>
      <c r="M11"/>
      <c r="N11"/>
    </row>
    <row r="12" spans="1:14" x14ac:dyDescent="0.25">
      <c r="A12"/>
      <c r="B12"/>
      <c r="C12"/>
      <c r="D12" s="5"/>
      <c r="E12"/>
      <c r="F12"/>
      <c r="G12"/>
      <c r="H12"/>
      <c r="I12"/>
      <c r="J12"/>
      <c r="K12"/>
      <c r="L12"/>
      <c r="M12"/>
      <c r="N12"/>
    </row>
    <row r="13" spans="1:14" x14ac:dyDescent="0.25">
      <c r="A13"/>
      <c r="B13"/>
      <c r="C13"/>
      <c r="D13" s="5"/>
      <c r="E13"/>
      <c r="F13"/>
      <c r="G13"/>
      <c r="H13"/>
      <c r="I13"/>
      <c r="J13"/>
      <c r="K13"/>
      <c r="L13"/>
      <c r="M13"/>
      <c r="N13"/>
    </row>
    <row r="14" spans="1:14" x14ac:dyDescent="0.25">
      <c r="A14"/>
      <c r="B14"/>
      <c r="C14"/>
      <c r="D14" s="5"/>
      <c r="E14"/>
      <c r="F14"/>
      <c r="G14"/>
      <c r="H14"/>
      <c r="I14"/>
      <c r="J14"/>
      <c r="K14"/>
      <c r="L14"/>
      <c r="M14"/>
      <c r="N14"/>
    </row>
    <row r="15" spans="1:14" x14ac:dyDescent="0.25">
      <c r="A15"/>
      <c r="B15"/>
      <c r="C15" s="8"/>
      <c r="D15" s="5"/>
      <c r="E15"/>
      <c r="F15"/>
      <c r="G15"/>
      <c r="H15"/>
      <c r="I15"/>
      <c r="J15"/>
      <c r="K15"/>
      <c r="L15"/>
      <c r="M15"/>
      <c r="N15"/>
    </row>
    <row r="16" spans="1:14" x14ac:dyDescent="0.25">
      <c r="A16"/>
      <c r="B16"/>
      <c r="C16"/>
      <c r="D16" s="5"/>
      <c r="E16"/>
      <c r="F16"/>
      <c r="G16"/>
      <c r="H16"/>
      <c r="I16"/>
      <c r="J16"/>
      <c r="K16"/>
      <c r="L16"/>
      <c r="M16"/>
      <c r="N16"/>
    </row>
    <row r="17" spans="1:14" x14ac:dyDescent="0.25">
      <c r="A17"/>
      <c r="B17"/>
      <c r="C17"/>
      <c r="D17" s="5"/>
      <c r="E17"/>
      <c r="F17"/>
      <c r="G17"/>
      <c r="H17"/>
      <c r="I17"/>
      <c r="J17"/>
      <c r="K17"/>
      <c r="L17"/>
      <c r="M17"/>
      <c r="N17"/>
    </row>
    <row r="18" spans="1:14" x14ac:dyDescent="0.25">
      <c r="A18"/>
      <c r="B18"/>
      <c r="C18"/>
      <c r="D18" s="5"/>
      <c r="E18"/>
      <c r="F18"/>
      <c r="G18"/>
      <c r="H18"/>
      <c r="I18"/>
      <c r="J18"/>
      <c r="K18"/>
      <c r="L18"/>
      <c r="M18"/>
      <c r="N18"/>
    </row>
    <row r="19" spans="1:14" x14ac:dyDescent="0.25">
      <c r="A19"/>
      <c r="B19"/>
      <c r="C19"/>
      <c r="D19" s="5"/>
      <c r="E19"/>
      <c r="F19"/>
      <c r="G19"/>
      <c r="H19"/>
      <c r="I19"/>
      <c r="J19"/>
      <c r="K19"/>
      <c r="L19"/>
      <c r="M19"/>
      <c r="N19"/>
    </row>
    <row r="20" spans="1:14" x14ac:dyDescent="0.25">
      <c r="A20"/>
      <c r="B20"/>
      <c r="C20"/>
      <c r="D20" s="5"/>
      <c r="E20"/>
      <c r="F20"/>
      <c r="G20"/>
      <c r="H20"/>
      <c r="I20"/>
      <c r="J20"/>
      <c r="K20"/>
      <c r="L20"/>
      <c r="M20"/>
      <c r="N20"/>
    </row>
    <row r="21" spans="1:14" x14ac:dyDescent="0.25">
      <c r="A21"/>
      <c r="B21"/>
      <c r="C21"/>
      <c r="D21" s="5"/>
      <c r="E21"/>
      <c r="F21"/>
      <c r="G21"/>
      <c r="H21"/>
      <c r="I21"/>
      <c r="J21"/>
      <c r="K21"/>
      <c r="L21"/>
      <c r="M21"/>
      <c r="N21"/>
    </row>
    <row r="22" spans="1:14" x14ac:dyDescent="0.25">
      <c r="A22"/>
      <c r="B22"/>
      <c r="C22"/>
      <c r="D22" s="5"/>
      <c r="E22"/>
      <c r="F22"/>
      <c r="G22"/>
      <c r="H22"/>
      <c r="I22"/>
      <c r="J22"/>
      <c r="K22"/>
      <c r="L22"/>
      <c r="M22"/>
      <c r="N22"/>
    </row>
    <row r="23" spans="1:14" x14ac:dyDescent="0.25">
      <c r="A23"/>
      <c r="B23"/>
      <c r="C23"/>
      <c r="D23" s="5"/>
      <c r="E23"/>
      <c r="F23"/>
      <c r="G23"/>
      <c r="H23"/>
      <c r="I23"/>
      <c r="J23"/>
      <c r="K23"/>
      <c r="L23"/>
      <c r="M23"/>
      <c r="N23"/>
    </row>
    <row r="24" spans="1:14" x14ac:dyDescent="0.25">
      <c r="A24"/>
      <c r="B24"/>
      <c r="C24"/>
      <c r="D24" s="5"/>
      <c r="E24"/>
      <c r="F24"/>
      <c r="G24"/>
      <c r="H24"/>
      <c r="I24"/>
      <c r="J24"/>
      <c r="K24"/>
      <c r="L24"/>
      <c r="M24"/>
      <c r="N24"/>
    </row>
    <row r="25" spans="1:14" x14ac:dyDescent="0.25">
      <c r="A25"/>
      <c r="B25"/>
      <c r="C25"/>
      <c r="D25" s="5"/>
      <c r="E25"/>
      <c r="F25"/>
      <c r="G25"/>
      <c r="H25"/>
      <c r="I25"/>
      <c r="J25"/>
      <c r="K25"/>
      <c r="L25"/>
      <c r="M25"/>
      <c r="N25"/>
    </row>
    <row r="26" spans="1:14" x14ac:dyDescent="0.25">
      <c r="A26"/>
      <c r="B26"/>
      <c r="C26"/>
      <c r="D26" s="5"/>
      <c r="E26"/>
      <c r="F26"/>
      <c r="G26"/>
      <c r="H26"/>
      <c r="I26"/>
      <c r="J26"/>
      <c r="K26"/>
      <c r="L26"/>
      <c r="M26"/>
      <c r="N26"/>
    </row>
    <row r="27" spans="1:14" x14ac:dyDescent="0.25">
      <c r="A27"/>
      <c r="B27"/>
      <c r="C27"/>
      <c r="D27" s="5"/>
      <c r="E27"/>
      <c r="F27"/>
      <c r="G27"/>
      <c r="H27"/>
      <c r="I27"/>
      <c r="J27"/>
      <c r="K27"/>
      <c r="L27"/>
      <c r="M27"/>
      <c r="N27"/>
    </row>
    <row r="28" spans="1:14" x14ac:dyDescent="0.25">
      <c r="A28"/>
      <c r="B28"/>
      <c r="C28"/>
      <c r="D28" s="5"/>
      <c r="E28"/>
      <c r="F28"/>
      <c r="G28"/>
      <c r="H28"/>
      <c r="I28"/>
      <c r="J28"/>
      <c r="K28"/>
      <c r="L28"/>
      <c r="M28"/>
      <c r="N28"/>
    </row>
    <row r="29" spans="1:14" x14ac:dyDescent="0.25">
      <c r="A29"/>
      <c r="B29"/>
      <c r="C29"/>
      <c r="D29" s="5"/>
      <c r="E29"/>
      <c r="F29"/>
      <c r="G29"/>
      <c r="H29"/>
      <c r="I29"/>
      <c r="J29"/>
      <c r="K29"/>
      <c r="L29"/>
      <c r="M29"/>
      <c r="N29"/>
    </row>
    <row r="30" spans="1:14" x14ac:dyDescent="0.25">
      <c r="A30"/>
      <c r="B30"/>
      <c r="C30"/>
      <c r="D30" s="5"/>
      <c r="E30"/>
      <c r="F30"/>
      <c r="G30"/>
      <c r="H30"/>
      <c r="I30"/>
      <c r="J30"/>
      <c r="K30"/>
      <c r="L30"/>
      <c r="M30"/>
      <c r="N30"/>
    </row>
    <row r="31" spans="1:14" x14ac:dyDescent="0.25">
      <c r="A31"/>
      <c r="B31"/>
      <c r="C31"/>
      <c r="D31" s="5"/>
      <c r="E31"/>
      <c r="F31"/>
      <c r="G31"/>
      <c r="H31"/>
      <c r="I31"/>
      <c r="J31"/>
      <c r="K31"/>
      <c r="L31"/>
      <c r="M31"/>
      <c r="N31"/>
    </row>
    <row r="32" spans="1:14" x14ac:dyDescent="0.25">
      <c r="A32"/>
      <c r="B32"/>
      <c r="C32"/>
      <c r="D32" s="5"/>
      <c r="E32"/>
      <c r="F32"/>
      <c r="G32"/>
      <c r="H32"/>
      <c r="I32"/>
      <c r="J32"/>
      <c r="K32"/>
      <c r="L32"/>
      <c r="M32"/>
      <c r="N32"/>
    </row>
    <row r="33" spans="1:14" x14ac:dyDescent="0.25">
      <c r="A33"/>
      <c r="B33"/>
      <c r="C33"/>
      <c r="D33" s="5"/>
      <c r="E33"/>
      <c r="F33"/>
      <c r="G33"/>
      <c r="H33"/>
      <c r="I33"/>
      <c r="J33"/>
      <c r="K33"/>
      <c r="L33"/>
      <c r="M33"/>
      <c r="N33"/>
    </row>
    <row r="34" spans="1:14" x14ac:dyDescent="0.25">
      <c r="A34"/>
      <c r="B34"/>
      <c r="C34"/>
      <c r="D34" s="5"/>
      <c r="E34"/>
      <c r="F34"/>
      <c r="G34"/>
      <c r="H34"/>
      <c r="I34"/>
      <c r="J34"/>
      <c r="K34"/>
      <c r="L34"/>
      <c r="M34"/>
      <c r="N34"/>
    </row>
    <row r="35" spans="1:14" x14ac:dyDescent="0.25">
      <c r="D35" s="5"/>
    </row>
    <row r="36" spans="1:14" x14ac:dyDescent="0.25">
      <c r="D36" s="5"/>
    </row>
    <row r="37" spans="1:14" x14ac:dyDescent="0.25">
      <c r="D37" s="5"/>
    </row>
    <row r="38" spans="1:14" x14ac:dyDescent="0.25">
      <c r="D38" s="5"/>
    </row>
    <row r="39" spans="1:14" x14ac:dyDescent="0.25">
      <c r="D39" s="5"/>
    </row>
    <row r="40" spans="1:14" x14ac:dyDescent="0.25">
      <c r="D40" s="5"/>
    </row>
    <row r="41" spans="1:14" x14ac:dyDescent="0.25">
      <c r="D41" s="5"/>
    </row>
    <row r="42" spans="1:14" x14ac:dyDescent="0.25">
      <c r="D42" s="5"/>
    </row>
    <row r="43" spans="1:14" x14ac:dyDescent="0.25">
      <c r="D43" s="5"/>
    </row>
    <row r="44" spans="1:14" x14ac:dyDescent="0.25">
      <c r="D44" s="5"/>
    </row>
    <row r="45" spans="1:14" x14ac:dyDescent="0.25">
      <c r="D45" s="5"/>
    </row>
    <row r="46" spans="1:14" x14ac:dyDescent="0.25">
      <c r="D46" s="5"/>
    </row>
    <row r="47" spans="1:14" x14ac:dyDescent="0.25">
      <c r="D47" s="5"/>
    </row>
    <row r="48" spans="1:14" x14ac:dyDescent="0.25">
      <c r="D48" s="5"/>
    </row>
    <row r="49" spans="10:10" x14ac:dyDescent="0.25">
      <c r="J49" s="6"/>
    </row>
    <row r="50" spans="10:10" x14ac:dyDescent="0.25">
      <c r="J50" s="7"/>
    </row>
    <row r="51" spans="10:10" x14ac:dyDescent="0.25">
      <c r="J51" s="6"/>
    </row>
    <row r="52" spans="10:10" x14ac:dyDescent="0.25">
      <c r="J5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AB178"/>
  <sheetViews>
    <sheetView zoomScaleNormal="100" workbookViewId="0">
      <pane xSplit="1" ySplit="1" topLeftCell="B93" activePane="bottomRight" state="frozen"/>
      <selection pane="topRight" activeCell="B1" sqref="B1"/>
      <selection pane="bottomLeft" activeCell="A2" sqref="A2"/>
      <selection pane="bottomRight" activeCell="G119" activeCellId="1" sqref="E15:H110 G119"/>
    </sheetView>
  </sheetViews>
  <sheetFormatPr defaultRowHeight="15" x14ac:dyDescent="0.25"/>
  <cols>
    <col min="1" max="1" width="39.140625" style="11" customWidth="1"/>
    <col min="2" max="2" width="37.28515625" style="12" customWidth="1"/>
    <col min="3" max="3" width="18.42578125" style="11" customWidth="1"/>
    <col min="4" max="4" width="12.42578125" style="11" customWidth="1"/>
    <col min="5" max="5" width="20.5703125" style="77" customWidth="1"/>
    <col min="6" max="6" width="17.140625" style="11" customWidth="1"/>
    <col min="7" max="7" width="14" style="12" customWidth="1"/>
    <col min="8" max="8" width="21.5703125" style="11" customWidth="1"/>
    <col min="9" max="9" width="11" style="11" customWidth="1"/>
    <col min="10" max="10" width="27.7109375" style="11" customWidth="1"/>
    <col min="11" max="11" width="16.85546875" style="13" customWidth="1"/>
    <col min="12" max="12" width="26.140625" style="11" customWidth="1"/>
    <col min="13" max="13" width="23.28515625" style="11" customWidth="1"/>
    <col min="14" max="14" width="33.140625" style="11" customWidth="1"/>
    <col min="15" max="15" width="13.28515625" style="11" customWidth="1"/>
    <col min="16" max="16" width="109.7109375" style="11" customWidth="1"/>
    <col min="17" max="17" width="24.42578125" style="11" customWidth="1"/>
    <col min="18" max="18" width="2.85546875" style="61" customWidth="1"/>
    <col min="19" max="19" width="19.28515625" style="11" customWidth="1"/>
    <col min="20" max="20" width="31.7109375" style="11" customWidth="1"/>
    <col min="21" max="21" width="30.42578125" style="11" customWidth="1"/>
    <col min="22" max="22" width="33" style="11" bestFit="1" customWidth="1"/>
    <col min="23" max="23" width="25.85546875" style="11" bestFit="1" customWidth="1"/>
    <col min="24" max="27" width="27.140625" style="11" customWidth="1"/>
    <col min="28" max="29" width="9.140625" style="11" customWidth="1"/>
    <col min="30" max="16384" width="9.140625" style="11"/>
  </cols>
  <sheetData>
    <row r="1" spans="1:24" x14ac:dyDescent="0.25">
      <c r="A1" s="11" t="s">
        <v>46</v>
      </c>
      <c r="B1" s="12" t="s">
        <v>47</v>
      </c>
      <c r="C1" s="11" t="s">
        <v>53</v>
      </c>
      <c r="D1" s="11" t="s">
        <v>54</v>
      </c>
      <c r="E1" s="77" t="s">
        <v>55</v>
      </c>
      <c r="F1" s="11" t="s">
        <v>56</v>
      </c>
      <c r="G1" s="12" t="s">
        <v>57</v>
      </c>
      <c r="H1" s="11" t="s">
        <v>58</v>
      </c>
      <c r="I1" s="11" t="s">
        <v>59</v>
      </c>
      <c r="J1" s="11" t="s">
        <v>60</v>
      </c>
      <c r="K1" s="13" t="s">
        <v>61</v>
      </c>
      <c r="L1" s="11" t="s">
        <v>62</v>
      </c>
      <c r="M1" s="11" t="s">
        <v>63</v>
      </c>
      <c r="N1" s="11" t="s">
        <v>64</v>
      </c>
      <c r="O1" s="11" t="s">
        <v>65</v>
      </c>
      <c r="P1" s="11" t="s">
        <v>66</v>
      </c>
      <c r="Q1" s="11" t="s">
        <v>67</v>
      </c>
      <c r="S1" s="11" t="s">
        <v>68</v>
      </c>
      <c r="T1" s="63" t="s">
        <v>69</v>
      </c>
      <c r="U1" s="63"/>
      <c r="V1" s="63"/>
      <c r="W1" s="63"/>
      <c r="X1" s="63"/>
    </row>
    <row r="2" spans="1:24" s="14" customFormat="1" ht="16.5" customHeight="1" x14ac:dyDescent="0.25">
      <c r="A2" t="s">
        <v>334</v>
      </c>
      <c r="B2" s="32"/>
      <c r="C2" s="32"/>
      <c r="D2" s="32"/>
      <c r="E2" s="78">
        <v>0</v>
      </c>
      <c r="F2" s="32"/>
      <c r="H2" t="s">
        <v>442</v>
      </c>
      <c r="I2" s="32"/>
      <c r="J2"/>
      <c r="K2" s="72"/>
      <c r="L2" s="32"/>
      <c r="P2" s="31"/>
      <c r="T2"/>
      <c r="U2"/>
      <c r="V2"/>
      <c r="W2"/>
    </row>
    <row r="3" spans="1:24" s="14" customFormat="1" ht="16.5" customHeight="1" x14ac:dyDescent="0.25">
      <c r="A3" t="s">
        <v>335</v>
      </c>
      <c r="B3" s="32"/>
      <c r="C3" s="32"/>
      <c r="D3" s="32"/>
      <c r="E3" s="78">
        <v>0</v>
      </c>
      <c r="F3" s="32"/>
      <c r="H3" t="s">
        <v>442</v>
      </c>
      <c r="I3" s="32"/>
      <c r="J3"/>
      <c r="K3" s="32"/>
      <c r="L3" s="32"/>
      <c r="P3" s="31"/>
      <c r="T3"/>
      <c r="U3"/>
      <c r="V3"/>
      <c r="W3"/>
    </row>
    <row r="4" spans="1:24" s="14" customFormat="1" ht="16.5" customHeight="1" x14ac:dyDescent="0.25">
      <c r="A4" t="s">
        <v>336</v>
      </c>
      <c r="B4" s="32"/>
      <c r="C4" s="32"/>
      <c r="D4" s="32"/>
      <c r="E4" s="78">
        <v>0</v>
      </c>
      <c r="F4" s="32"/>
      <c r="H4" t="s">
        <v>442</v>
      </c>
      <c r="I4" s="32"/>
      <c r="J4"/>
      <c r="K4" s="72"/>
      <c r="L4" s="32"/>
      <c r="P4" s="31"/>
      <c r="T4"/>
      <c r="U4"/>
      <c r="V4"/>
      <c r="W4"/>
      <c r="X4"/>
    </row>
    <row r="5" spans="1:24" s="14" customFormat="1" ht="16.5" customHeight="1" x14ac:dyDescent="0.25">
      <c r="A5" t="s">
        <v>337</v>
      </c>
      <c r="B5" s="32"/>
      <c r="C5" s="32"/>
      <c r="D5" s="32"/>
      <c r="E5" s="78">
        <v>0</v>
      </c>
      <c r="F5" s="32"/>
      <c r="H5" t="s">
        <v>442</v>
      </c>
      <c r="I5" s="72"/>
      <c r="J5"/>
      <c r="K5" s="32"/>
      <c r="L5" s="32"/>
      <c r="P5" s="31"/>
      <c r="T5"/>
      <c r="U5"/>
      <c r="V5"/>
      <c r="W5"/>
    </row>
    <row r="6" spans="1:24" s="14" customFormat="1" ht="16.5" customHeight="1" x14ac:dyDescent="0.25">
      <c r="A6" t="s">
        <v>338</v>
      </c>
      <c r="B6" s="32"/>
      <c r="C6" s="32"/>
      <c r="D6" s="32"/>
      <c r="E6" s="78">
        <v>0</v>
      </c>
      <c r="F6" s="32"/>
      <c r="H6" t="s">
        <v>442</v>
      </c>
      <c r="I6" s="72"/>
      <c r="J6"/>
      <c r="K6" s="32"/>
      <c r="L6" s="32"/>
      <c r="P6" s="31"/>
      <c r="T6"/>
      <c r="U6"/>
      <c r="V6"/>
      <c r="W6"/>
    </row>
    <row r="7" spans="1:24" s="14" customFormat="1" ht="16.5" customHeight="1" x14ac:dyDescent="0.25">
      <c r="A7" t="s">
        <v>339</v>
      </c>
      <c r="B7" s="32"/>
      <c r="C7" s="32"/>
      <c r="D7" s="32"/>
      <c r="E7" s="78">
        <v>0</v>
      </c>
      <c r="F7" s="32"/>
      <c r="H7" t="s">
        <v>442</v>
      </c>
      <c r="I7" s="72"/>
      <c r="J7"/>
      <c r="K7" s="32"/>
      <c r="L7" s="32"/>
      <c r="P7" s="31"/>
      <c r="T7"/>
      <c r="U7"/>
      <c r="V7"/>
      <c r="W7"/>
    </row>
    <row r="8" spans="1:24" s="14" customFormat="1" ht="16.5" customHeight="1" x14ac:dyDescent="0.25">
      <c r="A8" t="s">
        <v>340</v>
      </c>
      <c r="B8" s="32"/>
      <c r="C8" s="32"/>
      <c r="D8" s="32"/>
      <c r="E8" s="78">
        <v>0</v>
      </c>
      <c r="F8" s="32"/>
      <c r="H8" t="s">
        <v>442</v>
      </c>
      <c r="I8" s="72"/>
      <c r="J8"/>
      <c r="K8" s="32"/>
      <c r="L8" s="32"/>
      <c r="P8" s="31"/>
      <c r="T8"/>
      <c r="U8"/>
      <c r="V8"/>
      <c r="W8"/>
    </row>
    <row r="9" spans="1:24" s="14" customFormat="1" ht="16.5" customHeight="1" x14ac:dyDescent="0.25">
      <c r="A9" t="s">
        <v>341</v>
      </c>
      <c r="B9" s="32"/>
      <c r="C9" s="32"/>
      <c r="D9" s="32"/>
      <c r="E9" s="78">
        <v>0</v>
      </c>
      <c r="F9" s="32"/>
      <c r="H9" t="s">
        <v>442</v>
      </c>
      <c r="I9" s="72"/>
      <c r="J9"/>
      <c r="K9" s="32"/>
      <c r="L9" s="32"/>
      <c r="P9" s="31"/>
      <c r="T9"/>
      <c r="U9"/>
      <c r="V9"/>
      <c r="W9"/>
    </row>
    <row r="10" spans="1:24" s="14" customFormat="1" ht="16.5" customHeight="1" x14ac:dyDescent="0.25">
      <c r="A10" t="s">
        <v>342</v>
      </c>
      <c r="B10" s="32"/>
      <c r="C10" s="32"/>
      <c r="D10" s="32"/>
      <c r="E10" s="78">
        <v>0</v>
      </c>
      <c r="F10" s="32"/>
      <c r="H10" t="s">
        <v>442</v>
      </c>
      <c r="I10" s="72"/>
      <c r="J10"/>
      <c r="K10" s="32"/>
      <c r="L10" s="32"/>
      <c r="P10" s="31"/>
      <c r="T10"/>
      <c r="U10"/>
      <c r="V10"/>
      <c r="W10"/>
    </row>
    <row r="11" spans="1:24" s="14" customFormat="1" ht="16.5" customHeight="1" x14ac:dyDescent="0.25">
      <c r="A11" t="s">
        <v>343</v>
      </c>
      <c r="B11" s="32"/>
      <c r="C11" s="32"/>
      <c r="D11" s="32"/>
      <c r="E11" s="78">
        <v>0</v>
      </c>
      <c r="F11" s="32"/>
      <c r="H11" t="s">
        <v>442</v>
      </c>
      <c r="I11" s="32"/>
      <c r="J11"/>
      <c r="K11" s="32"/>
      <c r="L11" s="32"/>
      <c r="P11" s="31"/>
      <c r="T11"/>
      <c r="U11"/>
      <c r="V11"/>
      <c r="W11"/>
    </row>
    <row r="12" spans="1:24" s="14" customFormat="1" ht="16.5" customHeight="1" x14ac:dyDescent="0.25">
      <c r="A12" t="s">
        <v>344</v>
      </c>
      <c r="B12" s="32"/>
      <c r="C12" s="32"/>
      <c r="D12" s="32"/>
      <c r="E12" s="78">
        <v>0</v>
      </c>
      <c r="F12" s="32"/>
      <c r="H12" t="s">
        <v>442</v>
      </c>
      <c r="I12" s="32"/>
      <c r="J12"/>
      <c r="K12" s="32"/>
      <c r="L12" s="32"/>
      <c r="P12" s="31"/>
      <c r="T12"/>
      <c r="U12"/>
      <c r="V12"/>
      <c r="W12"/>
    </row>
    <row r="13" spans="1:24" s="14" customFormat="1" ht="16.5" customHeight="1" x14ac:dyDescent="0.25">
      <c r="A13" t="s">
        <v>345</v>
      </c>
      <c r="B13" s="32"/>
      <c r="C13" s="32"/>
      <c r="D13" s="32"/>
      <c r="E13" s="78">
        <v>0</v>
      </c>
      <c r="F13" s="32"/>
      <c r="H13" t="s">
        <v>442</v>
      </c>
      <c r="I13" s="32"/>
      <c r="J13"/>
      <c r="K13" s="32"/>
      <c r="L13" s="32"/>
      <c r="P13" s="31"/>
      <c r="T13"/>
      <c r="U13"/>
      <c r="V13"/>
      <c r="W13"/>
    </row>
    <row r="14" spans="1:24" s="14" customFormat="1" ht="16.5" customHeight="1" x14ac:dyDescent="0.25">
      <c r="A14" t="s">
        <v>346</v>
      </c>
      <c r="B14" s="32"/>
      <c r="C14" s="32"/>
      <c r="D14" s="32"/>
      <c r="E14" s="78">
        <v>0</v>
      </c>
      <c r="F14" s="32"/>
      <c r="H14" t="s">
        <v>442</v>
      </c>
      <c r="I14" s="32"/>
      <c r="J14"/>
      <c r="K14" s="32"/>
      <c r="L14" s="32"/>
      <c r="P14" s="31"/>
      <c r="T14"/>
      <c r="U14"/>
      <c r="V14"/>
      <c r="W14"/>
    </row>
    <row r="15" spans="1:24" s="14" customFormat="1" ht="16.5" customHeight="1" x14ac:dyDescent="0.25">
      <c r="A15" t="s">
        <v>347</v>
      </c>
      <c r="B15" s="32"/>
      <c r="C15" s="32"/>
      <c r="D15" s="32"/>
      <c r="E15" s="78">
        <v>0</v>
      </c>
      <c r="F15" s="32"/>
      <c r="H15" t="s">
        <v>442</v>
      </c>
      <c r="I15" s="32"/>
      <c r="J15"/>
      <c r="K15" s="32"/>
      <c r="L15" s="32"/>
      <c r="P15" s="31"/>
      <c r="T15"/>
      <c r="U15"/>
      <c r="V15"/>
      <c r="W15"/>
      <c r="X15"/>
    </row>
    <row r="16" spans="1:24" s="14" customFormat="1" ht="16.5" customHeight="1" x14ac:dyDescent="0.25">
      <c r="A16" t="s">
        <v>348</v>
      </c>
      <c r="B16" s="32"/>
      <c r="C16" s="32"/>
      <c r="D16" s="32"/>
      <c r="E16" s="78">
        <v>0</v>
      </c>
      <c r="F16" s="32"/>
      <c r="H16" t="s">
        <v>442</v>
      </c>
      <c r="I16" s="32"/>
      <c r="J16"/>
      <c r="K16" s="32"/>
      <c r="L16" s="32"/>
      <c r="P16" s="31"/>
      <c r="T16"/>
      <c r="U16"/>
      <c r="V16"/>
      <c r="W16"/>
    </row>
    <row r="17" spans="1:28" s="14" customFormat="1" ht="16.5" customHeight="1" x14ac:dyDescent="0.25">
      <c r="A17" t="s">
        <v>349</v>
      </c>
      <c r="B17" s="32"/>
      <c r="C17" s="32"/>
      <c r="D17" s="32"/>
      <c r="E17" s="78">
        <v>0</v>
      </c>
      <c r="F17" s="32"/>
      <c r="H17" t="s">
        <v>442</v>
      </c>
      <c r="I17" s="32"/>
      <c r="J17"/>
      <c r="K17" s="32"/>
      <c r="L17" s="32"/>
      <c r="P17" s="31"/>
      <c r="T17"/>
      <c r="U17"/>
      <c r="V17"/>
      <c r="W17"/>
    </row>
    <row r="18" spans="1:28" s="14" customFormat="1" ht="16.5" customHeight="1" x14ac:dyDescent="0.25">
      <c r="A18" t="s">
        <v>350</v>
      </c>
      <c r="B18" s="32"/>
      <c r="C18" s="32"/>
      <c r="D18" s="32"/>
      <c r="E18" s="78">
        <v>0</v>
      </c>
      <c r="F18" s="32"/>
      <c r="H18" t="s">
        <v>442</v>
      </c>
      <c r="I18" s="32"/>
      <c r="J18"/>
      <c r="K18" s="32"/>
      <c r="L18" s="32"/>
      <c r="P18" s="31"/>
      <c r="T18"/>
      <c r="U18"/>
      <c r="V18"/>
      <c r="W18"/>
    </row>
    <row r="19" spans="1:28" s="14" customFormat="1" ht="16.5" customHeight="1" x14ac:dyDescent="0.25">
      <c r="A19" t="s">
        <v>351</v>
      </c>
      <c r="B19" s="32"/>
      <c r="C19" s="32"/>
      <c r="D19" s="32"/>
      <c r="E19" s="78">
        <v>0</v>
      </c>
      <c r="F19" s="32"/>
      <c r="H19" t="s">
        <v>442</v>
      </c>
      <c r="I19" s="32"/>
      <c r="J19"/>
      <c r="K19" s="32"/>
      <c r="L19" s="32"/>
      <c r="P19" s="31"/>
      <c r="T19"/>
      <c r="U19"/>
      <c r="V19"/>
      <c r="W19"/>
    </row>
    <row r="20" spans="1:28" s="14" customFormat="1" ht="16.5" customHeight="1" x14ac:dyDescent="0.25">
      <c r="A20" t="s">
        <v>352</v>
      </c>
      <c r="B20" s="32"/>
      <c r="C20" s="32"/>
      <c r="D20" s="32"/>
      <c r="E20" s="78">
        <v>0</v>
      </c>
      <c r="F20" s="32"/>
      <c r="H20" t="s">
        <v>442</v>
      </c>
      <c r="I20" s="32"/>
      <c r="J20"/>
      <c r="K20" s="32"/>
      <c r="L20" s="32"/>
      <c r="P20" s="31"/>
      <c r="T20"/>
      <c r="U20"/>
      <c r="V20"/>
      <c r="W20"/>
      <c r="X20"/>
    </row>
    <row r="21" spans="1:28" s="14" customFormat="1" ht="16.5" customHeight="1" x14ac:dyDescent="0.25">
      <c r="A21" t="s">
        <v>353</v>
      </c>
      <c r="B21" s="32"/>
      <c r="C21" s="32"/>
      <c r="D21" s="32"/>
      <c r="E21" s="78">
        <v>0</v>
      </c>
      <c r="F21" s="32"/>
      <c r="H21" t="s">
        <v>442</v>
      </c>
      <c r="I21" s="32"/>
      <c r="J21"/>
      <c r="K21" s="72"/>
      <c r="L21" s="32"/>
      <c r="P21" s="31"/>
      <c r="T21"/>
      <c r="U21"/>
      <c r="V21"/>
      <c r="W21"/>
    </row>
    <row r="22" spans="1:28" s="14" customFormat="1" ht="16.5" customHeight="1" x14ac:dyDescent="0.25">
      <c r="A22" t="s">
        <v>354</v>
      </c>
      <c r="B22" s="32"/>
      <c r="C22" s="32"/>
      <c r="D22" s="32"/>
      <c r="E22" s="78">
        <v>0</v>
      </c>
      <c r="F22" s="32"/>
      <c r="H22" t="s">
        <v>442</v>
      </c>
      <c r="I22" s="72"/>
      <c r="J22"/>
      <c r="K22" s="32"/>
      <c r="L22" s="32"/>
      <c r="P22" s="31"/>
      <c r="T22"/>
      <c r="U22"/>
      <c r="V22"/>
      <c r="W22"/>
    </row>
    <row r="23" spans="1:28" s="14" customFormat="1" ht="16.5" customHeight="1" x14ac:dyDescent="0.25">
      <c r="A23" t="s">
        <v>355</v>
      </c>
      <c r="B23" s="32"/>
      <c r="C23" s="32"/>
      <c r="D23" s="32"/>
      <c r="E23" s="78">
        <v>0</v>
      </c>
      <c r="F23" s="32"/>
      <c r="H23" t="s">
        <v>442</v>
      </c>
      <c r="I23" s="32"/>
      <c r="J23"/>
      <c r="K23" s="32"/>
      <c r="L23" s="32"/>
      <c r="P23" s="31"/>
      <c r="T23"/>
      <c r="U23"/>
      <c r="V23"/>
      <c r="W23"/>
      <c r="X23"/>
      <c r="Y23"/>
      <c r="Z23"/>
      <c r="AA23"/>
    </row>
    <row r="24" spans="1:28" s="14" customFormat="1" ht="16.5" customHeight="1" x14ac:dyDescent="0.25">
      <c r="A24" t="s">
        <v>356</v>
      </c>
      <c r="B24" s="32"/>
      <c r="C24" s="32"/>
      <c r="D24" s="32"/>
      <c r="E24" s="78">
        <v>0</v>
      </c>
      <c r="F24" s="32"/>
      <c r="H24" t="s">
        <v>442</v>
      </c>
      <c r="I24" s="72"/>
      <c r="J24"/>
      <c r="K24" s="32"/>
      <c r="L24" s="32"/>
      <c r="P24" s="31"/>
      <c r="T24"/>
      <c r="U24"/>
      <c r="V24"/>
      <c r="W24"/>
      <c r="X24"/>
      <c r="Y24"/>
      <c r="Z24"/>
      <c r="AA24"/>
      <c r="AB24"/>
    </row>
    <row r="25" spans="1:28" s="14" customFormat="1" ht="16.5" customHeight="1" x14ac:dyDescent="0.25">
      <c r="A25" t="s">
        <v>357</v>
      </c>
      <c r="B25" s="32"/>
      <c r="C25" s="32"/>
      <c r="D25" s="32"/>
      <c r="E25" s="78">
        <v>0</v>
      </c>
      <c r="F25" s="32"/>
      <c r="H25" t="s">
        <v>442</v>
      </c>
      <c r="I25" s="72"/>
      <c r="J25"/>
      <c r="K25" s="32"/>
      <c r="L25" s="32"/>
      <c r="P25" s="31"/>
      <c r="T25"/>
      <c r="U25"/>
      <c r="V25"/>
      <c r="W25"/>
      <c r="X25"/>
      <c r="Y25"/>
      <c r="Z25"/>
      <c r="AA25"/>
    </row>
    <row r="26" spans="1:28" s="14" customFormat="1" ht="16.5" customHeight="1" x14ac:dyDescent="0.25">
      <c r="A26" t="s">
        <v>358</v>
      </c>
      <c r="B26" s="32"/>
      <c r="C26" s="32"/>
      <c r="D26" s="32"/>
      <c r="E26" s="78">
        <v>0</v>
      </c>
      <c r="F26" s="32"/>
      <c r="H26" t="s">
        <v>442</v>
      </c>
      <c r="I26" s="72"/>
      <c r="J26"/>
      <c r="K26" s="32"/>
      <c r="L26" s="32"/>
      <c r="P26" s="31"/>
      <c r="T26"/>
      <c r="U26"/>
      <c r="V26"/>
      <c r="W26"/>
      <c r="X26"/>
      <c r="Y26"/>
      <c r="Z26"/>
      <c r="AA26"/>
    </row>
    <row r="27" spans="1:28" s="14" customFormat="1" ht="16.5" customHeight="1" x14ac:dyDescent="0.25">
      <c r="A27" t="s">
        <v>359</v>
      </c>
      <c r="B27" s="32"/>
      <c r="C27" s="32"/>
      <c r="D27" s="32"/>
      <c r="E27" s="78">
        <v>0</v>
      </c>
      <c r="F27" s="32"/>
      <c r="H27" t="s">
        <v>442</v>
      </c>
      <c r="I27" s="72"/>
      <c r="J27"/>
      <c r="K27" s="32"/>
      <c r="L27" s="32"/>
      <c r="P27" s="31"/>
      <c r="T27"/>
      <c r="U27"/>
      <c r="V27"/>
      <c r="W27"/>
      <c r="X27"/>
      <c r="Y27"/>
      <c r="Z27"/>
      <c r="AA27"/>
      <c r="AB27"/>
    </row>
    <row r="28" spans="1:28" s="14" customFormat="1" ht="16.5" customHeight="1" x14ac:dyDescent="0.25">
      <c r="A28" t="s">
        <v>360</v>
      </c>
      <c r="B28" s="32"/>
      <c r="C28" s="32"/>
      <c r="D28" s="32"/>
      <c r="E28" s="78">
        <v>0</v>
      </c>
      <c r="F28" s="32"/>
      <c r="H28" t="s">
        <v>442</v>
      </c>
      <c r="I28" s="72"/>
      <c r="J28"/>
      <c r="K28" s="32"/>
      <c r="L28" s="32"/>
      <c r="P28" s="31"/>
      <c r="T28"/>
      <c r="U28"/>
      <c r="V28"/>
      <c r="W28"/>
      <c r="X28"/>
      <c r="Y28"/>
      <c r="Z28"/>
      <c r="AA28"/>
    </row>
    <row r="29" spans="1:28" s="14" customFormat="1" ht="16.5" customHeight="1" x14ac:dyDescent="0.25">
      <c r="A29" t="s">
        <v>361</v>
      </c>
      <c r="B29" s="32"/>
      <c r="C29" s="32"/>
      <c r="D29" s="32"/>
      <c r="E29" s="78">
        <v>0</v>
      </c>
      <c r="F29" s="32"/>
      <c r="H29" t="s">
        <v>442</v>
      </c>
      <c r="I29" s="32"/>
      <c r="J29"/>
      <c r="K29" s="72"/>
      <c r="L29" s="32"/>
      <c r="P29" s="31"/>
      <c r="T29"/>
      <c r="U29"/>
      <c r="V29"/>
      <c r="W29"/>
      <c r="X29"/>
      <c r="Y29"/>
      <c r="Z29"/>
      <c r="AA29"/>
    </row>
    <row r="30" spans="1:28" s="14" customFormat="1" ht="16.5" customHeight="1" x14ac:dyDescent="0.25">
      <c r="A30" t="s">
        <v>362</v>
      </c>
      <c r="B30" s="32"/>
      <c r="C30" s="32"/>
      <c r="D30" s="32"/>
      <c r="E30" s="78">
        <v>0</v>
      </c>
      <c r="F30" s="32"/>
      <c r="H30" t="s">
        <v>442</v>
      </c>
      <c r="I30" s="32"/>
      <c r="J30"/>
      <c r="K30" s="32"/>
      <c r="L30" s="32"/>
      <c r="P30" s="31"/>
      <c r="T30"/>
      <c r="U30"/>
      <c r="V30"/>
      <c r="W30"/>
      <c r="X30"/>
      <c r="Y30"/>
      <c r="Z30"/>
      <c r="AA30"/>
    </row>
    <row r="31" spans="1:28" s="14" customFormat="1" ht="16.5" customHeight="1" x14ac:dyDescent="0.25">
      <c r="A31" t="s">
        <v>363</v>
      </c>
      <c r="B31" s="32"/>
      <c r="C31" s="32"/>
      <c r="D31" s="32"/>
      <c r="E31" s="78">
        <v>0</v>
      </c>
      <c r="F31" s="32"/>
      <c r="H31" t="s">
        <v>442</v>
      </c>
      <c r="I31" s="72"/>
      <c r="J31"/>
      <c r="K31" s="32"/>
      <c r="L31" s="32"/>
      <c r="P31" s="31"/>
      <c r="T31"/>
      <c r="U31"/>
      <c r="V31"/>
      <c r="W31"/>
    </row>
    <row r="32" spans="1:28" s="14" customFormat="1" ht="16.5" customHeight="1" x14ac:dyDescent="0.25">
      <c r="A32" t="s">
        <v>364</v>
      </c>
      <c r="B32" s="32"/>
      <c r="C32" s="32"/>
      <c r="D32" s="32"/>
      <c r="E32" s="78">
        <v>0</v>
      </c>
      <c r="F32" s="32"/>
      <c r="H32" t="s">
        <v>442</v>
      </c>
      <c r="I32" s="72"/>
      <c r="J32"/>
      <c r="K32" s="32"/>
      <c r="L32" s="32"/>
      <c r="P32" s="31"/>
      <c r="T32"/>
      <c r="U32"/>
      <c r="V32"/>
      <c r="W32"/>
      <c r="X32"/>
    </row>
    <row r="33" spans="1:23" s="14" customFormat="1" ht="16.5" customHeight="1" x14ac:dyDescent="0.25">
      <c r="A33" t="s">
        <v>365</v>
      </c>
      <c r="B33" s="32"/>
      <c r="C33" s="32"/>
      <c r="D33" s="32"/>
      <c r="E33" s="78">
        <v>0</v>
      </c>
      <c r="F33" s="32"/>
      <c r="H33" t="s">
        <v>442</v>
      </c>
      <c r="I33" s="72"/>
      <c r="J33"/>
      <c r="K33" s="32"/>
      <c r="L33" s="32"/>
      <c r="P33" s="31"/>
      <c r="T33"/>
      <c r="U33"/>
      <c r="V33"/>
      <c r="W33"/>
    </row>
    <row r="34" spans="1:23" s="14" customFormat="1" ht="16.5" customHeight="1" x14ac:dyDescent="0.25">
      <c r="A34" t="s">
        <v>366</v>
      </c>
      <c r="B34" s="32"/>
      <c r="C34" s="32"/>
      <c r="D34" s="32"/>
      <c r="E34" s="78">
        <v>0</v>
      </c>
      <c r="F34" s="32"/>
      <c r="H34" t="s">
        <v>442</v>
      </c>
      <c r="I34" s="72"/>
      <c r="J34"/>
      <c r="K34" s="32"/>
      <c r="L34" s="32"/>
      <c r="P34" s="31"/>
      <c r="T34"/>
      <c r="U34"/>
    </row>
    <row r="35" spans="1:23" s="14" customFormat="1" ht="16.5" customHeight="1" x14ac:dyDescent="0.25">
      <c r="A35" t="s">
        <v>367</v>
      </c>
      <c r="B35" s="32"/>
      <c r="C35" s="32"/>
      <c r="D35" s="32"/>
      <c r="E35" s="78">
        <v>0</v>
      </c>
      <c r="F35" s="32"/>
      <c r="H35" t="s">
        <v>442</v>
      </c>
      <c r="I35" s="72"/>
      <c r="J35"/>
      <c r="K35" s="32"/>
      <c r="L35" s="32"/>
      <c r="O35" s="25"/>
    </row>
    <row r="36" spans="1:23" s="14" customFormat="1" ht="16.5" customHeight="1" x14ac:dyDescent="0.25">
      <c r="A36" t="s">
        <v>368</v>
      </c>
      <c r="B36" s="32"/>
      <c r="C36" s="32"/>
      <c r="D36" s="32"/>
      <c r="E36" s="78">
        <v>0</v>
      </c>
      <c r="F36" s="32"/>
      <c r="H36" t="s">
        <v>442</v>
      </c>
      <c r="I36" s="72"/>
      <c r="J36"/>
      <c r="K36" s="32"/>
      <c r="L36" s="32"/>
      <c r="O36" s="25"/>
    </row>
    <row r="37" spans="1:23" s="14" customFormat="1" ht="16.5" customHeight="1" x14ac:dyDescent="0.25">
      <c r="A37" t="s">
        <v>369</v>
      </c>
      <c r="B37" s="32"/>
      <c r="C37" s="32"/>
      <c r="D37" s="32"/>
      <c r="E37" s="78">
        <v>0</v>
      </c>
      <c r="F37" s="32"/>
      <c r="H37" t="s">
        <v>442</v>
      </c>
      <c r="I37" s="72"/>
      <c r="J37"/>
      <c r="K37" s="32"/>
      <c r="L37" s="32"/>
      <c r="O37" s="25"/>
    </row>
    <row r="38" spans="1:23" s="14" customFormat="1" ht="16.5" customHeight="1" x14ac:dyDescent="0.25">
      <c r="A38" t="s">
        <v>370</v>
      </c>
      <c r="B38" s="32"/>
      <c r="C38" s="32"/>
      <c r="D38" s="32"/>
      <c r="E38" s="78">
        <v>0</v>
      </c>
      <c r="F38" s="32"/>
      <c r="H38" t="s">
        <v>442</v>
      </c>
      <c r="I38" s="32"/>
      <c r="J38"/>
      <c r="K38" s="72"/>
      <c r="L38" s="32"/>
      <c r="O38" s="25"/>
    </row>
    <row r="39" spans="1:23" s="14" customFormat="1" ht="16.5" customHeight="1" x14ac:dyDescent="0.25">
      <c r="A39" t="s">
        <v>371</v>
      </c>
      <c r="B39" s="32"/>
      <c r="C39" s="32"/>
      <c r="D39" s="32"/>
      <c r="E39" s="78">
        <v>0</v>
      </c>
      <c r="F39" s="32"/>
      <c r="H39" t="s">
        <v>442</v>
      </c>
      <c r="I39" s="32"/>
      <c r="J39"/>
      <c r="K39" s="32"/>
      <c r="L39" s="32"/>
      <c r="O39" s="25"/>
    </row>
    <row r="40" spans="1:23" s="14" customFormat="1" ht="16.5" customHeight="1" x14ac:dyDescent="0.25">
      <c r="A40" t="s">
        <v>372</v>
      </c>
      <c r="B40" s="32"/>
      <c r="C40" s="32"/>
      <c r="D40" s="32"/>
      <c r="E40" s="78">
        <v>0</v>
      </c>
      <c r="F40" s="32"/>
      <c r="H40" t="s">
        <v>442</v>
      </c>
      <c r="I40" s="32"/>
      <c r="J40"/>
      <c r="K40" s="32"/>
      <c r="L40" s="32"/>
      <c r="O40" s="25"/>
    </row>
    <row r="41" spans="1:23" s="14" customFormat="1" ht="16.5" customHeight="1" x14ac:dyDescent="0.25">
      <c r="A41" t="s">
        <v>373</v>
      </c>
      <c r="B41" s="32"/>
      <c r="C41" s="32"/>
      <c r="D41" s="32"/>
      <c r="E41" s="78">
        <v>0</v>
      </c>
      <c r="F41" s="32"/>
      <c r="H41" t="s">
        <v>442</v>
      </c>
      <c r="I41" s="32"/>
      <c r="J41"/>
      <c r="K41" s="72"/>
      <c r="L41" s="32"/>
      <c r="O41" s="25"/>
    </row>
    <row r="42" spans="1:23" s="14" customFormat="1" ht="16.5" customHeight="1" x14ac:dyDescent="0.25">
      <c r="A42" t="s">
        <v>374</v>
      </c>
      <c r="B42" s="32"/>
      <c r="C42" s="32"/>
      <c r="D42" s="32"/>
      <c r="E42" s="78">
        <v>0</v>
      </c>
      <c r="F42" s="32"/>
      <c r="H42" t="s">
        <v>442</v>
      </c>
      <c r="I42" s="32"/>
      <c r="J42"/>
      <c r="K42" s="72"/>
      <c r="L42" s="32"/>
      <c r="O42" s="25"/>
    </row>
    <row r="43" spans="1:23" s="14" customFormat="1" ht="16.5" customHeight="1" x14ac:dyDescent="0.25">
      <c r="A43" t="s">
        <v>375</v>
      </c>
      <c r="B43" s="32"/>
      <c r="C43" s="32"/>
      <c r="D43" s="32"/>
      <c r="E43" s="78">
        <v>0</v>
      </c>
      <c r="F43" s="32"/>
      <c r="H43" t="s">
        <v>442</v>
      </c>
      <c r="I43" s="32"/>
      <c r="J43"/>
      <c r="K43" s="32"/>
      <c r="L43" s="32"/>
      <c r="O43" s="25"/>
    </row>
    <row r="44" spans="1:23" s="14" customFormat="1" ht="16.5" customHeight="1" x14ac:dyDescent="0.25">
      <c r="A44" t="s">
        <v>376</v>
      </c>
      <c r="B44" s="32"/>
      <c r="C44" s="32"/>
      <c r="D44" s="32"/>
      <c r="E44" s="78">
        <v>0</v>
      </c>
      <c r="F44" s="32"/>
      <c r="H44" t="s">
        <v>442</v>
      </c>
      <c r="I44" s="32"/>
      <c r="J44"/>
      <c r="K44" s="32"/>
      <c r="L44" s="32"/>
      <c r="O44" s="25"/>
    </row>
    <row r="45" spans="1:23" s="14" customFormat="1" ht="16.5" customHeight="1" x14ac:dyDescent="0.25">
      <c r="A45" t="s">
        <v>377</v>
      </c>
      <c r="B45" s="32"/>
      <c r="C45" s="32"/>
      <c r="D45" s="32"/>
      <c r="E45" s="78">
        <v>0</v>
      </c>
      <c r="F45" s="32"/>
      <c r="H45" t="s">
        <v>442</v>
      </c>
      <c r="I45" s="32"/>
      <c r="J45"/>
      <c r="K45" s="72"/>
      <c r="L45" s="32"/>
      <c r="O45" s="25"/>
    </row>
    <row r="46" spans="1:23" s="14" customFormat="1" ht="16.5" customHeight="1" x14ac:dyDescent="0.25">
      <c r="A46" t="s">
        <v>378</v>
      </c>
      <c r="B46" s="32"/>
      <c r="C46" s="32"/>
      <c r="D46" s="32"/>
      <c r="E46" s="78">
        <v>0</v>
      </c>
      <c r="F46" s="32"/>
      <c r="H46" t="s">
        <v>442</v>
      </c>
      <c r="I46" s="32"/>
      <c r="J46"/>
      <c r="K46" s="72"/>
      <c r="L46" s="32"/>
      <c r="O46" s="25"/>
    </row>
    <row r="47" spans="1:23" s="14" customFormat="1" ht="16.5" customHeight="1" x14ac:dyDescent="0.25">
      <c r="A47" t="s">
        <v>379</v>
      </c>
      <c r="B47" s="32"/>
      <c r="C47" s="32"/>
      <c r="D47" s="32"/>
      <c r="E47" s="78">
        <v>0</v>
      </c>
      <c r="F47" s="32"/>
      <c r="H47" t="s">
        <v>442</v>
      </c>
      <c r="I47" s="32"/>
      <c r="J47"/>
      <c r="K47" s="32"/>
      <c r="L47" s="32"/>
      <c r="O47" s="25"/>
    </row>
    <row r="48" spans="1:23" s="14" customFormat="1" ht="16.5" customHeight="1" x14ac:dyDescent="0.25">
      <c r="A48" t="s">
        <v>380</v>
      </c>
      <c r="B48" s="32"/>
      <c r="C48" s="32"/>
      <c r="D48" s="32"/>
      <c r="E48" s="78">
        <v>0</v>
      </c>
      <c r="F48" s="32"/>
      <c r="H48" t="s">
        <v>442</v>
      </c>
      <c r="I48" s="32"/>
      <c r="J48"/>
      <c r="K48" s="32"/>
      <c r="L48" s="32"/>
      <c r="O48" s="25"/>
    </row>
    <row r="49" spans="1:18" s="14" customFormat="1" ht="16.5" customHeight="1" x14ac:dyDescent="0.25">
      <c r="A49" t="s">
        <v>382</v>
      </c>
      <c r="B49"/>
      <c r="C49" s="32"/>
      <c r="D49" s="32"/>
      <c r="E49" s="78">
        <v>0</v>
      </c>
      <c r="F49" s="32"/>
      <c r="H49" t="s">
        <v>442</v>
      </c>
      <c r="J49"/>
      <c r="K49" s="32"/>
      <c r="L49" s="74"/>
      <c r="O49" s="25"/>
    </row>
    <row r="50" spans="1:18" s="14" customFormat="1" ht="16.5" customHeight="1" x14ac:dyDescent="0.25">
      <c r="A50" t="s">
        <v>383</v>
      </c>
      <c r="B50" s="27"/>
      <c r="C50" s="32"/>
      <c r="D50" s="65"/>
      <c r="E50" s="78">
        <v>0</v>
      </c>
      <c r="F50" s="32"/>
      <c r="H50" t="s">
        <v>442</v>
      </c>
      <c r="J50"/>
      <c r="K50" s="32"/>
      <c r="L50" s="32"/>
      <c r="O50" s="25"/>
    </row>
    <row r="51" spans="1:18" s="14" customFormat="1" ht="16.5" customHeight="1" x14ac:dyDescent="0.25">
      <c r="A51" t="s">
        <v>381</v>
      </c>
      <c r="B51" s="27"/>
      <c r="C51" s="32"/>
      <c r="D51" s="65"/>
      <c r="E51" s="78">
        <v>0</v>
      </c>
      <c r="F51" s="32"/>
      <c r="H51" t="s">
        <v>442</v>
      </c>
      <c r="J51"/>
      <c r="K51" s="32"/>
      <c r="L51" s="32"/>
      <c r="O51" s="25"/>
    </row>
    <row r="52" spans="1:18" s="14" customFormat="1" ht="16.5" customHeight="1" x14ac:dyDescent="0.25">
      <c r="A52" t="s">
        <v>385</v>
      </c>
      <c r="B52"/>
      <c r="D52"/>
      <c r="E52" s="78">
        <v>0</v>
      </c>
      <c r="F52" s="32"/>
      <c r="H52" t="s">
        <v>442</v>
      </c>
      <c r="J52"/>
      <c r="O52" s="25"/>
    </row>
    <row r="53" spans="1:18" s="14" customFormat="1" ht="16.5" customHeight="1" x14ac:dyDescent="0.25">
      <c r="A53" s="83" t="s">
        <v>386</v>
      </c>
      <c r="B53"/>
      <c r="D53"/>
      <c r="E53" s="78">
        <v>0</v>
      </c>
      <c r="F53" s="32"/>
      <c r="H53" t="s">
        <v>442</v>
      </c>
      <c r="J53"/>
      <c r="O53" s="25"/>
    </row>
    <row r="54" spans="1:18" s="14" customFormat="1" ht="16.5" customHeight="1" x14ac:dyDescent="0.25">
      <c r="A54" t="s">
        <v>387</v>
      </c>
      <c r="B54"/>
      <c r="D54"/>
      <c r="E54" s="78">
        <v>0</v>
      </c>
      <c r="F54" s="32"/>
      <c r="H54" t="s">
        <v>442</v>
      </c>
      <c r="J54"/>
      <c r="O54" s="25"/>
    </row>
    <row r="55" spans="1:18" s="14" customFormat="1" ht="16.5" customHeight="1" x14ac:dyDescent="0.25">
      <c r="A55" t="s">
        <v>388</v>
      </c>
      <c r="B55"/>
      <c r="D55"/>
      <c r="E55" s="78">
        <v>0</v>
      </c>
      <c r="F55" s="32"/>
      <c r="H55" t="s">
        <v>442</v>
      </c>
      <c r="J55"/>
      <c r="O55" s="25"/>
    </row>
    <row r="56" spans="1:18" s="14" customFormat="1" ht="16.5" customHeight="1" x14ac:dyDescent="0.25">
      <c r="A56" t="s">
        <v>389</v>
      </c>
      <c r="B56"/>
      <c r="D56"/>
      <c r="E56" s="78">
        <v>0</v>
      </c>
      <c r="F56" s="32"/>
      <c r="H56" t="s">
        <v>442</v>
      </c>
      <c r="J56"/>
      <c r="O56" s="25"/>
    </row>
    <row r="57" spans="1:18" s="14" customFormat="1" ht="16.5" customHeight="1" x14ac:dyDescent="0.25">
      <c r="A57" t="s">
        <v>390</v>
      </c>
      <c r="B57"/>
      <c r="D57"/>
      <c r="E57" s="78">
        <v>0</v>
      </c>
      <c r="F57" s="32"/>
      <c r="H57" t="s">
        <v>442</v>
      </c>
      <c r="J57"/>
      <c r="K57"/>
      <c r="O57" s="25"/>
    </row>
    <row r="58" spans="1:18" s="14" customFormat="1" ht="16.5" customHeight="1" x14ac:dyDescent="0.25">
      <c r="A58" t="s">
        <v>391</v>
      </c>
      <c r="B58"/>
      <c r="D58"/>
      <c r="E58" s="78">
        <v>0</v>
      </c>
      <c r="F58" s="32"/>
      <c r="H58" t="s">
        <v>442</v>
      </c>
      <c r="J58"/>
      <c r="K58"/>
      <c r="O58" s="25"/>
      <c r="R58" s="62"/>
    </row>
    <row r="59" spans="1:18" s="14" customFormat="1" ht="16.5" customHeight="1" x14ac:dyDescent="0.25">
      <c r="A59" t="s">
        <v>392</v>
      </c>
      <c r="B59"/>
      <c r="D59"/>
      <c r="E59" s="78">
        <v>0</v>
      </c>
      <c r="F59" s="32"/>
      <c r="H59" t="s">
        <v>442</v>
      </c>
      <c r="J59"/>
      <c r="K59"/>
      <c r="O59" s="25"/>
      <c r="R59" s="62"/>
    </row>
    <row r="60" spans="1:18" s="14" customFormat="1" ht="16.5" customHeight="1" x14ac:dyDescent="0.25">
      <c r="A60" t="s">
        <v>393</v>
      </c>
      <c r="B60"/>
      <c r="D60"/>
      <c r="E60" s="78">
        <v>0</v>
      </c>
      <c r="F60" s="32"/>
      <c r="H60" t="s">
        <v>442</v>
      </c>
      <c r="J60"/>
      <c r="K60"/>
      <c r="O60" s="25"/>
      <c r="R60" s="62"/>
    </row>
    <row r="61" spans="1:18" s="14" customFormat="1" ht="16.5" customHeight="1" x14ac:dyDescent="0.25">
      <c r="A61" t="s">
        <v>394</v>
      </c>
      <c r="B61"/>
      <c r="D61"/>
      <c r="E61" s="78">
        <v>0</v>
      </c>
      <c r="F61" s="32"/>
      <c r="H61" t="s">
        <v>442</v>
      </c>
      <c r="J61"/>
      <c r="K61"/>
      <c r="O61" s="25"/>
      <c r="R61" s="62"/>
    </row>
    <row r="62" spans="1:18" s="14" customFormat="1" ht="16.5" customHeight="1" x14ac:dyDescent="0.25">
      <c r="A62" t="s">
        <v>395</v>
      </c>
      <c r="B62"/>
      <c r="D62"/>
      <c r="E62" s="78">
        <v>0</v>
      </c>
      <c r="F62" s="32"/>
      <c r="H62" t="s">
        <v>442</v>
      </c>
      <c r="J62"/>
      <c r="O62" s="25"/>
      <c r="R62" s="62"/>
    </row>
    <row r="63" spans="1:18" s="14" customFormat="1" ht="16.5" customHeight="1" x14ac:dyDescent="0.25">
      <c r="A63" t="s">
        <v>396</v>
      </c>
      <c r="B63"/>
      <c r="D63"/>
      <c r="E63" s="78">
        <v>0</v>
      </c>
      <c r="F63" s="32"/>
      <c r="H63" t="s">
        <v>442</v>
      </c>
      <c r="J63"/>
      <c r="K63"/>
      <c r="O63" s="25"/>
      <c r="R63" s="62"/>
    </row>
    <row r="64" spans="1:18" s="14" customFormat="1" ht="16.5" customHeight="1" x14ac:dyDescent="0.25">
      <c r="A64" t="s">
        <v>397</v>
      </c>
      <c r="B64"/>
      <c r="D64"/>
      <c r="E64" s="78">
        <v>0</v>
      </c>
      <c r="F64" s="32"/>
      <c r="H64" t="s">
        <v>442</v>
      </c>
      <c r="J64"/>
      <c r="K64"/>
      <c r="O64" s="25"/>
      <c r="R64" s="62"/>
    </row>
    <row r="65" spans="1:21" s="14" customFormat="1" ht="16.5" customHeight="1" x14ac:dyDescent="0.25">
      <c r="A65" t="s">
        <v>398</v>
      </c>
      <c r="B65"/>
      <c r="D65"/>
      <c r="E65" s="78">
        <v>0</v>
      </c>
      <c r="F65" s="32"/>
      <c r="H65" t="s">
        <v>442</v>
      </c>
      <c r="J65"/>
      <c r="K65"/>
      <c r="O65" s="25"/>
      <c r="R65" s="62"/>
    </row>
    <row r="66" spans="1:21" s="14" customFormat="1" ht="16.5" customHeight="1" x14ac:dyDescent="0.25">
      <c r="A66" t="s">
        <v>399</v>
      </c>
      <c r="B66"/>
      <c r="D66"/>
      <c r="E66" s="78">
        <v>0</v>
      </c>
      <c r="F66" s="32"/>
      <c r="H66" t="s">
        <v>442</v>
      </c>
      <c r="J66"/>
      <c r="K66"/>
      <c r="O66" s="25"/>
      <c r="R66" s="62"/>
    </row>
    <row r="67" spans="1:21" s="14" customFormat="1" ht="16.5" customHeight="1" x14ac:dyDescent="0.25">
      <c r="A67" t="s">
        <v>400</v>
      </c>
      <c r="B67"/>
      <c r="D67"/>
      <c r="E67" s="78">
        <v>0</v>
      </c>
      <c r="F67" s="32"/>
      <c r="H67" t="s">
        <v>442</v>
      </c>
      <c r="J67"/>
      <c r="K67"/>
      <c r="O67" s="25"/>
      <c r="R67" s="62"/>
    </row>
    <row r="68" spans="1:21" s="14" customFormat="1" ht="16.5" customHeight="1" x14ac:dyDescent="0.25">
      <c r="A68" t="s">
        <v>401</v>
      </c>
      <c r="B68"/>
      <c r="D68"/>
      <c r="E68" s="78">
        <v>0</v>
      </c>
      <c r="F68" s="32"/>
      <c r="H68" t="s">
        <v>442</v>
      </c>
      <c r="J68"/>
      <c r="O68" s="25"/>
      <c r="R68" s="62"/>
      <c r="U68" s="11"/>
    </row>
    <row r="69" spans="1:21" s="14" customFormat="1" ht="16.5" customHeight="1" x14ac:dyDescent="0.25">
      <c r="A69" t="s">
        <v>402</v>
      </c>
      <c r="B69"/>
      <c r="D69"/>
      <c r="E69" s="78">
        <v>0</v>
      </c>
      <c r="F69" s="32"/>
      <c r="H69" t="s">
        <v>442</v>
      </c>
      <c r="J69"/>
      <c r="O69" s="25"/>
      <c r="R69" s="62"/>
    </row>
    <row r="70" spans="1:21" s="14" customFormat="1" ht="16.5" customHeight="1" x14ac:dyDescent="0.25">
      <c r="A70" t="s">
        <v>403</v>
      </c>
      <c r="B70"/>
      <c r="D70"/>
      <c r="E70" s="78">
        <v>0</v>
      </c>
      <c r="F70" s="32"/>
      <c r="H70" t="s">
        <v>442</v>
      </c>
      <c r="J70"/>
      <c r="O70" s="25"/>
      <c r="R70" s="62"/>
    </row>
    <row r="71" spans="1:21" s="14" customFormat="1" ht="16.5" customHeight="1" x14ac:dyDescent="0.25">
      <c r="A71" t="s">
        <v>404</v>
      </c>
      <c r="B71" s="20"/>
      <c r="D71"/>
      <c r="E71" s="78">
        <v>0</v>
      </c>
      <c r="F71" s="32"/>
      <c r="H71" t="s">
        <v>442</v>
      </c>
      <c r="J71" s="16"/>
      <c r="K71" s="25"/>
      <c r="O71" s="25"/>
      <c r="R71" s="62"/>
    </row>
    <row r="72" spans="1:21" s="14" customFormat="1" ht="16.5" customHeight="1" x14ac:dyDescent="0.25">
      <c r="A72" t="s">
        <v>405</v>
      </c>
      <c r="B72" s="20"/>
      <c r="D72"/>
      <c r="E72" s="78">
        <v>0</v>
      </c>
      <c r="F72" s="32"/>
      <c r="H72" t="s">
        <v>442</v>
      </c>
      <c r="J72" s="16"/>
      <c r="K72" s="25"/>
      <c r="O72" s="25"/>
      <c r="R72" s="62"/>
    </row>
    <row r="73" spans="1:21" s="14" customFormat="1" ht="16.5" customHeight="1" x14ac:dyDescent="0.25">
      <c r="A73" t="s">
        <v>406</v>
      </c>
      <c r="B73" s="20"/>
      <c r="D73"/>
      <c r="E73" s="78">
        <v>0</v>
      </c>
      <c r="F73" s="32"/>
      <c r="H73" t="s">
        <v>442</v>
      </c>
      <c r="J73"/>
      <c r="K73" s="21"/>
      <c r="R73" s="62"/>
    </row>
    <row r="74" spans="1:21" s="14" customFormat="1" ht="16.5" customHeight="1" x14ac:dyDescent="0.25">
      <c r="A74" t="s">
        <v>407</v>
      </c>
      <c r="B74" s="20"/>
      <c r="D74"/>
      <c r="E74" s="78">
        <v>0</v>
      </c>
      <c r="F74" s="32"/>
      <c r="H74" t="s">
        <v>442</v>
      </c>
      <c r="J74"/>
      <c r="K74" s="21"/>
      <c r="R74" s="62"/>
    </row>
    <row r="75" spans="1:21" s="14" customFormat="1" ht="16.5" customHeight="1" x14ac:dyDescent="0.25">
      <c r="A75" t="s">
        <v>408</v>
      </c>
      <c r="B75"/>
      <c r="D75"/>
      <c r="E75" s="78">
        <v>0</v>
      </c>
      <c r="F75" s="32"/>
      <c r="H75" t="s">
        <v>442</v>
      </c>
      <c r="J75"/>
      <c r="K75"/>
    </row>
    <row r="76" spans="1:21" s="14" customFormat="1" ht="16.5" customHeight="1" x14ac:dyDescent="0.25">
      <c r="A76" t="s">
        <v>409</v>
      </c>
      <c r="B76"/>
      <c r="D76"/>
      <c r="E76" s="78">
        <v>0</v>
      </c>
      <c r="F76" s="32"/>
      <c r="H76" t="s">
        <v>442</v>
      </c>
      <c r="J76"/>
      <c r="K76"/>
    </row>
    <row r="77" spans="1:21" ht="16.5" customHeight="1" x14ac:dyDescent="0.25">
      <c r="A77" t="s">
        <v>410</v>
      </c>
      <c r="B77"/>
      <c r="D77"/>
      <c r="E77" s="78">
        <v>0</v>
      </c>
      <c r="F77" s="32"/>
      <c r="G77" s="14"/>
      <c r="H77" t="s">
        <v>442</v>
      </c>
      <c r="J77"/>
      <c r="K77"/>
    </row>
    <row r="78" spans="1:21" ht="16.5" customHeight="1" x14ac:dyDescent="0.25">
      <c r="A78" t="s">
        <v>411</v>
      </c>
      <c r="B78"/>
      <c r="D78"/>
      <c r="E78" s="78">
        <v>0</v>
      </c>
      <c r="F78" s="32"/>
      <c r="G78" s="14"/>
      <c r="H78" t="s">
        <v>442</v>
      </c>
      <c r="J78"/>
      <c r="K78"/>
    </row>
    <row r="79" spans="1:21" ht="16.5" customHeight="1" x14ac:dyDescent="0.25">
      <c r="A79" t="s">
        <v>332</v>
      </c>
      <c r="B79"/>
      <c r="D79"/>
      <c r="E79" s="78">
        <v>0</v>
      </c>
      <c r="F79" s="32"/>
      <c r="G79" s="14"/>
      <c r="H79" t="s">
        <v>442</v>
      </c>
      <c r="J79"/>
      <c r="K79"/>
    </row>
    <row r="80" spans="1:21" ht="16.5" customHeight="1" x14ac:dyDescent="0.25">
      <c r="A80" t="s">
        <v>333</v>
      </c>
      <c r="B80"/>
      <c r="D80"/>
      <c r="E80" s="78">
        <v>0</v>
      </c>
      <c r="F80" s="32"/>
      <c r="G80" s="14"/>
      <c r="H80" t="s">
        <v>442</v>
      </c>
      <c r="J80"/>
      <c r="K80"/>
    </row>
    <row r="81" spans="1:11" ht="16.5" customHeight="1" x14ac:dyDescent="0.25">
      <c r="A81" t="s">
        <v>412</v>
      </c>
      <c r="B81"/>
      <c r="D81"/>
      <c r="E81" s="78">
        <v>0</v>
      </c>
      <c r="F81" s="32"/>
      <c r="G81" s="14"/>
      <c r="H81" t="s">
        <v>442</v>
      </c>
      <c r="J81"/>
      <c r="K81"/>
    </row>
    <row r="82" spans="1:11" ht="16.5" customHeight="1" x14ac:dyDescent="0.25">
      <c r="A82" t="s">
        <v>413</v>
      </c>
      <c r="B82"/>
      <c r="D82"/>
      <c r="E82" s="78">
        <v>0</v>
      </c>
      <c r="F82" s="32"/>
      <c r="G82" s="14"/>
      <c r="H82" t="s">
        <v>442</v>
      </c>
      <c r="J82"/>
      <c r="K82"/>
    </row>
    <row r="83" spans="1:11" ht="16.5" customHeight="1" x14ac:dyDescent="0.25">
      <c r="A83" t="s">
        <v>414</v>
      </c>
      <c r="B83"/>
      <c r="D83"/>
      <c r="E83" s="78">
        <v>0</v>
      </c>
      <c r="F83" s="32"/>
      <c r="G83" s="14"/>
      <c r="H83" t="s">
        <v>442</v>
      </c>
      <c r="J83"/>
    </row>
    <row r="84" spans="1:11" ht="16.5" customHeight="1" x14ac:dyDescent="0.25">
      <c r="A84" t="s">
        <v>415</v>
      </c>
      <c r="B84"/>
      <c r="D84"/>
      <c r="E84" s="78">
        <v>0</v>
      </c>
      <c r="F84" s="32"/>
      <c r="G84" s="14"/>
      <c r="H84" t="s">
        <v>442</v>
      </c>
      <c r="J84"/>
      <c r="K84"/>
    </row>
    <row r="85" spans="1:11" ht="16.5" customHeight="1" x14ac:dyDescent="0.25">
      <c r="A85" t="s">
        <v>416</v>
      </c>
      <c r="B85"/>
      <c r="D85"/>
      <c r="E85" s="78">
        <v>0</v>
      </c>
      <c r="F85" s="32"/>
      <c r="G85" s="14"/>
      <c r="H85" t="s">
        <v>442</v>
      </c>
      <c r="J85"/>
      <c r="K85"/>
    </row>
    <row r="86" spans="1:11" ht="16.5" customHeight="1" x14ac:dyDescent="0.25">
      <c r="A86" t="s">
        <v>417</v>
      </c>
      <c r="B86"/>
      <c r="D86"/>
      <c r="E86" s="78">
        <v>0</v>
      </c>
      <c r="F86" s="32"/>
      <c r="G86" s="14"/>
      <c r="H86" t="s">
        <v>442</v>
      </c>
      <c r="J86"/>
      <c r="K86"/>
    </row>
    <row r="87" spans="1:11" ht="16.5" customHeight="1" x14ac:dyDescent="0.25">
      <c r="A87" t="s">
        <v>418</v>
      </c>
      <c r="B87"/>
      <c r="D87"/>
      <c r="E87" s="78">
        <v>0</v>
      </c>
      <c r="F87" s="32"/>
      <c r="G87" s="14"/>
      <c r="H87" t="s">
        <v>442</v>
      </c>
      <c r="J87"/>
      <c r="K87"/>
    </row>
    <row r="88" spans="1:11" ht="16.5" customHeight="1" x14ac:dyDescent="0.25">
      <c r="A88" t="s">
        <v>419</v>
      </c>
      <c r="B88"/>
      <c r="D88"/>
      <c r="E88" s="78">
        <v>0</v>
      </c>
      <c r="F88" s="32"/>
      <c r="G88" s="14"/>
      <c r="H88" t="s">
        <v>442</v>
      </c>
      <c r="J88"/>
      <c r="K88"/>
    </row>
    <row r="89" spans="1:11" ht="16.5" customHeight="1" x14ac:dyDescent="0.25">
      <c r="A89" t="s">
        <v>420</v>
      </c>
      <c r="B89"/>
      <c r="D89"/>
      <c r="E89" s="78">
        <v>0</v>
      </c>
      <c r="F89" s="32"/>
      <c r="G89" s="14"/>
      <c r="H89" t="s">
        <v>442</v>
      </c>
      <c r="J89"/>
      <c r="K89"/>
    </row>
    <row r="90" spans="1:11" ht="16.5" customHeight="1" x14ac:dyDescent="0.25">
      <c r="A90" t="s">
        <v>421</v>
      </c>
      <c r="B90"/>
      <c r="D90"/>
      <c r="E90" s="78">
        <v>0</v>
      </c>
      <c r="F90" s="32"/>
      <c r="G90" s="14"/>
      <c r="H90" t="s">
        <v>442</v>
      </c>
      <c r="J90"/>
    </row>
    <row r="91" spans="1:11" ht="16.5" customHeight="1" x14ac:dyDescent="0.25">
      <c r="A91" t="s">
        <v>422</v>
      </c>
      <c r="B91"/>
      <c r="D91"/>
      <c r="E91" s="78">
        <v>0</v>
      </c>
      <c r="F91" s="32"/>
      <c r="G91" s="14"/>
      <c r="H91" t="s">
        <v>442</v>
      </c>
      <c r="J91"/>
      <c r="K91"/>
    </row>
    <row r="92" spans="1:11" ht="16.5" customHeight="1" x14ac:dyDescent="0.25">
      <c r="A92" t="s">
        <v>423</v>
      </c>
      <c r="B92"/>
      <c r="D92"/>
      <c r="E92" s="78">
        <v>0</v>
      </c>
      <c r="F92" s="32"/>
      <c r="G92" s="14"/>
      <c r="H92" t="s">
        <v>442</v>
      </c>
      <c r="J92"/>
      <c r="K92"/>
    </row>
    <row r="93" spans="1:11" ht="16.5" customHeight="1" x14ac:dyDescent="0.25">
      <c r="A93" t="s">
        <v>424</v>
      </c>
      <c r="B93"/>
      <c r="D93"/>
      <c r="E93" s="78">
        <v>0</v>
      </c>
      <c r="F93" s="32"/>
      <c r="G93" s="14"/>
      <c r="H93" t="s">
        <v>442</v>
      </c>
      <c r="J93"/>
      <c r="K93"/>
    </row>
    <row r="94" spans="1:11" ht="16.5" customHeight="1" x14ac:dyDescent="0.25">
      <c r="A94" t="s">
        <v>425</v>
      </c>
      <c r="B94"/>
      <c r="D94"/>
      <c r="E94" s="78">
        <v>0</v>
      </c>
      <c r="F94" s="32"/>
      <c r="G94" s="14"/>
      <c r="H94" t="s">
        <v>442</v>
      </c>
      <c r="J94"/>
      <c r="K94"/>
    </row>
    <row r="95" spans="1:11" ht="16.5" customHeight="1" x14ac:dyDescent="0.25">
      <c r="A95" t="s">
        <v>426</v>
      </c>
      <c r="B95"/>
      <c r="D95"/>
      <c r="E95" s="78">
        <v>0</v>
      </c>
      <c r="F95" s="32"/>
      <c r="G95" s="14"/>
      <c r="H95" t="s">
        <v>442</v>
      </c>
      <c r="J95"/>
      <c r="K95"/>
    </row>
    <row r="96" spans="1:11" ht="16.5" customHeight="1" x14ac:dyDescent="0.25">
      <c r="A96" t="s">
        <v>427</v>
      </c>
      <c r="B96"/>
      <c r="D96"/>
      <c r="E96" s="78">
        <v>0</v>
      </c>
      <c r="F96" s="32"/>
      <c r="G96" s="14"/>
      <c r="H96" t="s">
        <v>442</v>
      </c>
      <c r="J96"/>
      <c r="K96"/>
    </row>
    <row r="97" spans="1:11" ht="16.5" customHeight="1" x14ac:dyDescent="0.25">
      <c r="A97" t="s">
        <v>428</v>
      </c>
      <c r="B97"/>
      <c r="D97"/>
      <c r="E97" s="78">
        <v>0</v>
      </c>
      <c r="F97" s="32"/>
      <c r="G97" s="14"/>
      <c r="H97" t="s">
        <v>442</v>
      </c>
      <c r="J97"/>
      <c r="K97"/>
    </row>
    <row r="98" spans="1:11" ht="16.5" customHeight="1" x14ac:dyDescent="0.25">
      <c r="A98" t="s">
        <v>429</v>
      </c>
      <c r="B98"/>
      <c r="D98"/>
      <c r="E98" s="78">
        <v>0</v>
      </c>
      <c r="F98" s="32"/>
      <c r="G98" s="14"/>
      <c r="H98" t="s">
        <v>442</v>
      </c>
      <c r="J98"/>
      <c r="K98"/>
    </row>
    <row r="99" spans="1:11" ht="16.5" customHeight="1" x14ac:dyDescent="0.25">
      <c r="A99" t="s">
        <v>430</v>
      </c>
      <c r="B99"/>
      <c r="D99"/>
      <c r="E99" s="78">
        <v>0</v>
      </c>
      <c r="F99" s="32"/>
      <c r="G99" s="14"/>
      <c r="H99" t="s">
        <v>442</v>
      </c>
      <c r="J99"/>
      <c r="K99"/>
    </row>
    <row r="100" spans="1:11" ht="16.5" customHeight="1" x14ac:dyDescent="0.25">
      <c r="A100" t="s">
        <v>431</v>
      </c>
      <c r="B100"/>
      <c r="D100"/>
      <c r="E100" s="78">
        <v>0</v>
      </c>
      <c r="F100" s="32"/>
      <c r="G100" s="14"/>
      <c r="H100" t="s">
        <v>442</v>
      </c>
      <c r="J100"/>
      <c r="K100"/>
    </row>
    <row r="101" spans="1:11" ht="16.5" customHeight="1" x14ac:dyDescent="0.25">
      <c r="A101" t="s">
        <v>432</v>
      </c>
      <c r="B101"/>
      <c r="D101"/>
      <c r="E101" s="78">
        <v>0</v>
      </c>
      <c r="F101" s="32"/>
      <c r="G101" s="14"/>
      <c r="H101" t="s">
        <v>442</v>
      </c>
      <c r="J101"/>
      <c r="K101"/>
    </row>
    <row r="102" spans="1:11" ht="16.5" customHeight="1" x14ac:dyDescent="0.25">
      <c r="A102" t="s">
        <v>433</v>
      </c>
      <c r="B102"/>
      <c r="D102"/>
      <c r="E102" s="78">
        <v>0</v>
      </c>
      <c r="F102" s="32"/>
      <c r="G102" s="14"/>
      <c r="H102" t="s">
        <v>442</v>
      </c>
      <c r="J102"/>
      <c r="K102"/>
    </row>
    <row r="103" spans="1:11" ht="16.5" customHeight="1" x14ac:dyDescent="0.25">
      <c r="A103" t="s">
        <v>434</v>
      </c>
      <c r="B103"/>
      <c r="D103"/>
      <c r="E103" s="78">
        <v>0</v>
      </c>
      <c r="F103" s="32"/>
      <c r="G103" s="14"/>
      <c r="H103" t="s">
        <v>442</v>
      </c>
      <c r="J103"/>
      <c r="K103"/>
    </row>
    <row r="104" spans="1:11" ht="16.5" customHeight="1" x14ac:dyDescent="0.25">
      <c r="A104" t="s">
        <v>435</v>
      </c>
      <c r="B104"/>
      <c r="D104"/>
      <c r="E104" s="78">
        <v>0</v>
      </c>
      <c r="F104" s="32"/>
      <c r="G104" s="14"/>
      <c r="H104" t="s">
        <v>442</v>
      </c>
      <c r="J104"/>
      <c r="K104"/>
    </row>
    <row r="105" spans="1:11" ht="16.5" customHeight="1" x14ac:dyDescent="0.25">
      <c r="A105" t="s">
        <v>436</v>
      </c>
      <c r="B105"/>
      <c r="D105"/>
      <c r="E105" s="78">
        <v>0</v>
      </c>
      <c r="F105" s="32"/>
      <c r="G105" s="14"/>
      <c r="H105" t="s">
        <v>442</v>
      </c>
      <c r="J105"/>
      <c r="K105"/>
    </row>
    <row r="106" spans="1:11" ht="16.5" customHeight="1" x14ac:dyDescent="0.25">
      <c r="A106" t="s">
        <v>437</v>
      </c>
      <c r="B106"/>
      <c r="D106"/>
      <c r="E106" s="78">
        <v>0</v>
      </c>
      <c r="F106" s="32"/>
      <c r="G106" s="14"/>
      <c r="H106" t="s">
        <v>442</v>
      </c>
      <c r="J106"/>
      <c r="K106"/>
    </row>
    <row r="107" spans="1:11" ht="16.5" customHeight="1" x14ac:dyDescent="0.25">
      <c r="A107" t="s">
        <v>438</v>
      </c>
      <c r="B107"/>
      <c r="D107"/>
      <c r="E107" s="78">
        <v>0</v>
      </c>
      <c r="F107" s="32"/>
      <c r="G107" s="14"/>
      <c r="H107" t="s">
        <v>442</v>
      </c>
      <c r="J107"/>
      <c r="K107"/>
    </row>
    <row r="108" spans="1:11" ht="16.5" customHeight="1" x14ac:dyDescent="0.25">
      <c r="A108" t="s">
        <v>439</v>
      </c>
      <c r="B108"/>
      <c r="D108"/>
      <c r="E108" s="78">
        <v>0</v>
      </c>
      <c r="F108" s="32"/>
      <c r="G108" s="14"/>
      <c r="H108" t="s">
        <v>442</v>
      </c>
      <c r="J108"/>
      <c r="K108"/>
    </row>
    <row r="109" spans="1:11" ht="16.5" customHeight="1" x14ac:dyDescent="0.25">
      <c r="A109" t="s">
        <v>440</v>
      </c>
      <c r="B109"/>
      <c r="D109"/>
      <c r="E109" s="78">
        <v>0</v>
      </c>
      <c r="F109" s="32"/>
      <c r="G109" s="14"/>
      <c r="H109" t="s">
        <v>442</v>
      </c>
      <c r="J109"/>
      <c r="K109"/>
    </row>
    <row r="110" spans="1:11" ht="16.5" customHeight="1" x14ac:dyDescent="0.25">
      <c r="A110" t="s">
        <v>441</v>
      </c>
      <c r="B110"/>
      <c r="D110"/>
      <c r="E110" s="78">
        <v>0</v>
      </c>
      <c r="F110" s="32"/>
      <c r="G110" s="14"/>
      <c r="H110" t="s">
        <v>442</v>
      </c>
      <c r="J110"/>
      <c r="K110"/>
    </row>
    <row r="111" spans="1:11" ht="16.5" customHeight="1" x14ac:dyDescent="0.25">
      <c r="A111"/>
      <c r="B111"/>
      <c r="D111"/>
      <c r="E111"/>
      <c r="H111"/>
      <c r="J111"/>
      <c r="K111"/>
    </row>
    <row r="112" spans="1:11" ht="16.5" customHeight="1" x14ac:dyDescent="0.25">
      <c r="A112"/>
      <c r="B112"/>
      <c r="D112"/>
      <c r="E112"/>
      <c r="H112"/>
      <c r="J112"/>
      <c r="K112"/>
    </row>
    <row r="113" spans="1:16" ht="16.5" customHeight="1" x14ac:dyDescent="0.25">
      <c r="A113"/>
      <c r="B113"/>
      <c r="D113"/>
      <c r="E113"/>
      <c r="H113"/>
      <c r="J113"/>
      <c r="K113"/>
    </row>
    <row r="114" spans="1:16" ht="16.5" customHeight="1" x14ac:dyDescent="0.25">
      <c r="A114"/>
      <c r="B114"/>
      <c r="D114"/>
      <c r="E114"/>
      <c r="H114"/>
      <c r="J114"/>
      <c r="K114"/>
    </row>
    <row r="115" spans="1:16" ht="16.5" customHeight="1" x14ac:dyDescent="0.25">
      <c r="A115"/>
      <c r="B115"/>
      <c r="D115"/>
      <c r="E115"/>
      <c r="H115"/>
      <c r="J115"/>
      <c r="K115"/>
    </row>
    <row r="116" spans="1:16" ht="16.5" customHeight="1" x14ac:dyDescent="0.25">
      <c r="A116"/>
      <c r="B116"/>
      <c r="D116"/>
      <c r="E116"/>
      <c r="H116"/>
      <c r="J116"/>
      <c r="K116"/>
    </row>
    <row r="117" spans="1:16" ht="16.5" customHeight="1" x14ac:dyDescent="0.25">
      <c r="A117"/>
      <c r="B117"/>
      <c r="D117"/>
      <c r="E117"/>
      <c r="G117"/>
      <c r="H117"/>
      <c r="J117"/>
    </row>
    <row r="118" spans="1:16" ht="16.5" customHeight="1" x14ac:dyDescent="0.25">
      <c r="A118"/>
      <c r="B118"/>
      <c r="E118"/>
      <c r="H118"/>
      <c r="P118"/>
    </row>
    <row r="119" spans="1:16" ht="16.5" customHeight="1" x14ac:dyDescent="0.25">
      <c r="A119"/>
      <c r="B119"/>
      <c r="E119"/>
      <c r="H119"/>
      <c r="P119"/>
    </row>
    <row r="120" spans="1:16" ht="16.5" customHeight="1" x14ac:dyDescent="0.25">
      <c r="A120"/>
      <c r="B120"/>
      <c r="E120"/>
      <c r="H120"/>
      <c r="P120"/>
    </row>
    <row r="121" spans="1:16" ht="16.5" customHeight="1" x14ac:dyDescent="0.25">
      <c r="A121"/>
      <c r="B121"/>
      <c r="E121"/>
      <c r="H121"/>
      <c r="P121"/>
    </row>
    <row r="122" spans="1:16" ht="16.5" customHeight="1" x14ac:dyDescent="0.25">
      <c r="A122"/>
      <c r="B122"/>
      <c r="E122"/>
      <c r="H122"/>
      <c r="P122"/>
    </row>
    <row r="123" spans="1:16" ht="16.5" customHeight="1" x14ac:dyDescent="0.25">
      <c r="A123"/>
      <c r="B123"/>
      <c r="E123"/>
      <c r="H123"/>
      <c r="P123"/>
    </row>
    <row r="124" spans="1:16" ht="16.5" customHeight="1" x14ac:dyDescent="0.25">
      <c r="A124"/>
      <c r="B124"/>
      <c r="E124"/>
      <c r="H124"/>
      <c r="P124"/>
    </row>
    <row r="125" spans="1:16" ht="16.5" customHeight="1" x14ac:dyDescent="0.25">
      <c r="A125"/>
      <c r="B125"/>
      <c r="E125"/>
      <c r="H125"/>
      <c r="P125"/>
    </row>
    <row r="126" spans="1:16" ht="16.5" customHeight="1" x14ac:dyDescent="0.25">
      <c r="A126"/>
      <c r="B126"/>
      <c r="E126"/>
      <c r="H126"/>
      <c r="P126"/>
    </row>
    <row r="127" spans="1:16" ht="16.5" customHeight="1" x14ac:dyDescent="0.25">
      <c r="A127"/>
      <c r="B127"/>
      <c r="E127"/>
      <c r="H127"/>
      <c r="P127"/>
    </row>
    <row r="128" spans="1:16" ht="16.5" customHeight="1" x14ac:dyDescent="0.25">
      <c r="A128"/>
      <c r="B128"/>
      <c r="E128"/>
      <c r="H128"/>
      <c r="P128"/>
    </row>
    <row r="129" spans="1:16" ht="16.5" customHeight="1" x14ac:dyDescent="0.25">
      <c r="A129"/>
      <c r="B129"/>
      <c r="E129"/>
      <c r="H129"/>
      <c r="P129"/>
    </row>
    <row r="130" spans="1:16" ht="16.5" customHeight="1" x14ac:dyDescent="0.25">
      <c r="A130"/>
      <c r="B130"/>
      <c r="E130"/>
      <c r="H130"/>
      <c r="P130"/>
    </row>
    <row r="131" spans="1:16" ht="16.5" customHeight="1" x14ac:dyDescent="0.25">
      <c r="A131"/>
      <c r="B131"/>
      <c r="E131"/>
      <c r="H131"/>
      <c r="P131"/>
    </row>
    <row r="132" spans="1:16" ht="16.5" customHeight="1" x14ac:dyDescent="0.25">
      <c r="A132"/>
      <c r="B132"/>
      <c r="E132"/>
      <c r="H132"/>
      <c r="P132"/>
    </row>
    <row r="133" spans="1:16" ht="16.5" customHeight="1" x14ac:dyDescent="0.25">
      <c r="A133"/>
      <c r="B133"/>
      <c r="E133"/>
      <c r="H133"/>
      <c r="P133"/>
    </row>
    <row r="134" spans="1:16" ht="16.5" customHeight="1" x14ac:dyDescent="0.25">
      <c r="A134"/>
      <c r="B134"/>
      <c r="E134"/>
      <c r="H134"/>
      <c r="P134"/>
    </row>
    <row r="135" spans="1:16" ht="16.5" customHeight="1" x14ac:dyDescent="0.25">
      <c r="A135"/>
      <c r="B135"/>
      <c r="E135"/>
      <c r="H135"/>
      <c r="P135"/>
    </row>
    <row r="136" spans="1:16" ht="16.5" customHeight="1" x14ac:dyDescent="0.25">
      <c r="A136"/>
      <c r="B136"/>
      <c r="E136"/>
      <c r="H136"/>
      <c r="P136"/>
    </row>
    <row r="137" spans="1:16" ht="16.5" customHeight="1" x14ac:dyDescent="0.25">
      <c r="A137"/>
      <c r="B137"/>
      <c r="E137"/>
      <c r="H137"/>
      <c r="P137"/>
    </row>
    <row r="138" spans="1:16" ht="16.5" customHeight="1" x14ac:dyDescent="0.25">
      <c r="A138"/>
      <c r="B138"/>
      <c r="E138"/>
      <c r="H138"/>
      <c r="P138"/>
    </row>
    <row r="139" spans="1:16" ht="16.5" customHeight="1" x14ac:dyDescent="0.25">
      <c r="A139"/>
      <c r="B139"/>
      <c r="E139"/>
      <c r="H139"/>
      <c r="P139"/>
    </row>
    <row r="140" spans="1:16" ht="16.5" customHeight="1" x14ac:dyDescent="0.25">
      <c r="A140"/>
      <c r="B140"/>
      <c r="E140"/>
      <c r="H140"/>
      <c r="P140"/>
    </row>
    <row r="141" spans="1:16" ht="16.5" customHeight="1" x14ac:dyDescent="0.25">
      <c r="A141"/>
      <c r="B141"/>
      <c r="E141"/>
      <c r="H141"/>
      <c r="P141"/>
    </row>
    <row r="142" spans="1:16" ht="16.5" customHeight="1" x14ac:dyDescent="0.25">
      <c r="A142"/>
      <c r="B142"/>
      <c r="E142"/>
      <c r="H142"/>
      <c r="P142"/>
    </row>
    <row r="143" spans="1:16" ht="16.5" customHeight="1" x14ac:dyDescent="0.25">
      <c r="A143"/>
      <c r="B143"/>
      <c r="E143"/>
      <c r="H143"/>
      <c r="P143"/>
    </row>
    <row r="144" spans="1:16" ht="16.5" customHeight="1" x14ac:dyDescent="0.25">
      <c r="A144"/>
      <c r="B144"/>
      <c r="E144"/>
      <c r="H144"/>
      <c r="P144"/>
    </row>
    <row r="145" spans="1:16" ht="16.5" customHeight="1" x14ac:dyDescent="0.25">
      <c r="A145"/>
      <c r="B145"/>
      <c r="E145"/>
      <c r="H145"/>
      <c r="P145"/>
    </row>
    <row r="146" spans="1:16" ht="16.5" customHeight="1" x14ac:dyDescent="0.25">
      <c r="A146"/>
      <c r="B146"/>
      <c r="E146"/>
      <c r="H146"/>
      <c r="P146"/>
    </row>
    <row r="147" spans="1:16" ht="16.5" customHeight="1" x14ac:dyDescent="0.25">
      <c r="A147"/>
      <c r="B147"/>
      <c r="E147"/>
      <c r="H147"/>
      <c r="P147"/>
    </row>
    <row r="148" spans="1:16" ht="16.5" customHeight="1" x14ac:dyDescent="0.25">
      <c r="A148"/>
      <c r="B148"/>
      <c r="E148"/>
      <c r="H148"/>
      <c r="P148"/>
    </row>
    <row r="149" spans="1:16" ht="16.5" customHeight="1" x14ac:dyDescent="0.25">
      <c r="A149"/>
      <c r="B149"/>
      <c r="E149"/>
      <c r="H149"/>
      <c r="P149"/>
    </row>
    <row r="150" spans="1:16" ht="16.5" customHeight="1" x14ac:dyDescent="0.25">
      <c r="A150"/>
      <c r="B150"/>
      <c r="E150"/>
      <c r="H150"/>
      <c r="P150"/>
    </row>
    <row r="151" spans="1:16" ht="16.5" customHeight="1" x14ac:dyDescent="0.25">
      <c r="A151"/>
      <c r="B151"/>
      <c r="E151"/>
      <c r="H151"/>
      <c r="P151"/>
    </row>
    <row r="152" spans="1:16" ht="16.5" customHeight="1" x14ac:dyDescent="0.25">
      <c r="A152"/>
      <c r="B152"/>
      <c r="E152"/>
      <c r="H152"/>
      <c r="P152"/>
    </row>
    <row r="153" spans="1:16" ht="16.5" customHeight="1" x14ac:dyDescent="0.25">
      <c r="A153"/>
      <c r="B153"/>
      <c r="E153"/>
      <c r="H153"/>
      <c r="P153"/>
    </row>
    <row r="154" spans="1:16" ht="16.5" customHeight="1" x14ac:dyDescent="0.25">
      <c r="A154"/>
      <c r="B154"/>
      <c r="E154"/>
      <c r="H154"/>
      <c r="P154"/>
    </row>
    <row r="155" spans="1:16" ht="16.5" customHeight="1" x14ac:dyDescent="0.25">
      <c r="A155"/>
      <c r="B155"/>
      <c r="E155"/>
      <c r="H155"/>
      <c r="P155"/>
    </row>
    <row r="156" spans="1:16" ht="16.5" customHeight="1" x14ac:dyDescent="0.25">
      <c r="A156"/>
      <c r="B156"/>
      <c r="E156"/>
      <c r="H156"/>
      <c r="P156"/>
    </row>
    <row r="157" spans="1:16" ht="16.5" customHeight="1" x14ac:dyDescent="0.25">
      <c r="A157"/>
      <c r="B157"/>
      <c r="E157"/>
      <c r="H157"/>
      <c r="P157"/>
    </row>
    <row r="158" spans="1:16" ht="16.5" customHeight="1" x14ac:dyDescent="0.25">
      <c r="A158"/>
      <c r="B158"/>
      <c r="E158"/>
      <c r="H158"/>
      <c r="P158"/>
    </row>
    <row r="159" spans="1:16" ht="16.5" customHeight="1" x14ac:dyDescent="0.25">
      <c r="A159"/>
      <c r="B159"/>
      <c r="E159"/>
      <c r="H159"/>
      <c r="P159"/>
    </row>
    <row r="160" spans="1:16" ht="16.5" customHeight="1" x14ac:dyDescent="0.25">
      <c r="A160"/>
      <c r="B160"/>
      <c r="E160"/>
      <c r="H160"/>
      <c r="P160"/>
    </row>
    <row r="161" spans="1:16" ht="16.5" customHeight="1" x14ac:dyDescent="0.25">
      <c r="A161"/>
      <c r="B161"/>
      <c r="E161"/>
      <c r="H161"/>
      <c r="P161"/>
    </row>
    <row r="162" spans="1:16" ht="16.5" customHeight="1" x14ac:dyDescent="0.25">
      <c r="A162"/>
      <c r="B162"/>
      <c r="E162"/>
      <c r="H162"/>
      <c r="P162"/>
    </row>
    <row r="163" spans="1:16" ht="16.5" customHeight="1" x14ac:dyDescent="0.25">
      <c r="A163"/>
      <c r="B163"/>
      <c r="E163"/>
      <c r="H163"/>
      <c r="P163"/>
    </row>
    <row r="164" spans="1:16" ht="16.5" customHeight="1" x14ac:dyDescent="0.25">
      <c r="A164"/>
      <c r="B164"/>
      <c r="E164"/>
      <c r="H164"/>
      <c r="P164"/>
    </row>
    <row r="165" spans="1:16" ht="16.5" customHeight="1" x14ac:dyDescent="0.25">
      <c r="A165"/>
      <c r="B165"/>
      <c r="E165"/>
      <c r="H165"/>
      <c r="P165"/>
    </row>
    <row r="166" spans="1:16" ht="16.5" customHeight="1" x14ac:dyDescent="0.25">
      <c r="A166"/>
      <c r="B166"/>
      <c r="E166"/>
      <c r="H166"/>
      <c r="P166"/>
    </row>
    <row r="167" spans="1:16" ht="16.5" customHeight="1" x14ac:dyDescent="0.25">
      <c r="A167"/>
      <c r="B167"/>
      <c r="E167"/>
      <c r="H167"/>
      <c r="P167"/>
    </row>
    <row r="168" spans="1:16" ht="16.5" customHeight="1" x14ac:dyDescent="0.25">
      <c r="A168"/>
      <c r="B168"/>
      <c r="E168"/>
      <c r="H168"/>
      <c r="P168"/>
    </row>
    <row r="169" spans="1:16" ht="16.5" customHeight="1" x14ac:dyDescent="0.25">
      <c r="A169"/>
      <c r="B169"/>
      <c r="E169"/>
      <c r="H169"/>
      <c r="P169"/>
    </row>
    <row r="170" spans="1:16" ht="16.5" customHeight="1" x14ac:dyDescent="0.25">
      <c r="A170"/>
      <c r="B170"/>
      <c r="E170"/>
      <c r="H170"/>
      <c r="P170"/>
    </row>
    <row r="171" spans="1:16" ht="16.5" customHeight="1" x14ac:dyDescent="0.25">
      <c r="A171"/>
      <c r="B171"/>
      <c r="E171"/>
      <c r="H171"/>
      <c r="P171"/>
    </row>
    <row r="172" spans="1:16" ht="16.5" customHeight="1" x14ac:dyDescent="0.25">
      <c r="A172"/>
      <c r="B172"/>
      <c r="E172"/>
      <c r="H172"/>
      <c r="P172"/>
    </row>
    <row r="173" spans="1:16" ht="16.5" customHeight="1" x14ac:dyDescent="0.25">
      <c r="A173"/>
      <c r="B173"/>
      <c r="E173"/>
      <c r="H173"/>
      <c r="P173"/>
    </row>
    <row r="174" spans="1:16" ht="16.5" customHeight="1" x14ac:dyDescent="0.25">
      <c r="A174"/>
      <c r="B174"/>
      <c r="E174"/>
      <c r="H174"/>
      <c r="P174"/>
    </row>
    <row r="175" spans="1:16" ht="16.5" customHeight="1" x14ac:dyDescent="0.25">
      <c r="A175"/>
      <c r="B175"/>
      <c r="E175"/>
      <c r="H175"/>
      <c r="P175"/>
    </row>
    <row r="176" spans="1:16" ht="16.5" customHeight="1" x14ac:dyDescent="0.25">
      <c r="A176"/>
      <c r="B176"/>
      <c r="E176"/>
      <c r="H176"/>
      <c r="P176"/>
    </row>
    <row r="177" spans="1:16" x14ac:dyDescent="0.25">
      <c r="A177"/>
      <c r="B177"/>
      <c r="E177"/>
      <c r="H177"/>
      <c r="P177"/>
    </row>
    <row r="178" spans="1:16" x14ac:dyDescent="0.25">
      <c r="A178"/>
      <c r="B178"/>
      <c r="E178"/>
      <c r="H178"/>
      <c r="P178"/>
    </row>
  </sheetData>
  <phoneticPr fontId="17" type="noConversion"/>
  <conditionalFormatting sqref="A2:A33">
    <cfRule type="duplicateValues" dxfId="103" priority="1208"/>
    <cfRule type="duplicateValues" dxfId="102" priority="1209"/>
  </conditionalFormatting>
  <conditionalFormatting sqref="A73:A76 A34:A50">
    <cfRule type="duplicateValues" dxfId="101" priority="1120"/>
  </conditionalFormatting>
  <conditionalFormatting sqref="A73:A109 K73:K109 A34:A50">
    <cfRule type="duplicateValues" dxfId="100" priority="1114"/>
  </conditionalFormatting>
  <conditionalFormatting sqref="K73:K74">
    <cfRule type="duplicateValues" dxfId="99" priority="1030"/>
  </conditionalFormatting>
  <conditionalFormatting sqref="T17:T18 U13 T11:U11 T13:T14">
    <cfRule type="duplicateValues" dxfId="98" priority="1131"/>
  </conditionalFormatting>
  <conditionalFormatting sqref="T20 X4 U2:W2 T3:W10">
    <cfRule type="duplicateValues" dxfId="97" priority="1175"/>
  </conditionalFormatting>
  <conditionalFormatting sqref="T20 X4 V4:W10 T4:T10 U5:U10">
    <cfRule type="duplicateValues" dxfId="96" priority="1163"/>
  </conditionalFormatting>
  <conditionalFormatting sqref="T32">
    <cfRule type="duplicateValues" dxfId="95" priority="2"/>
    <cfRule type="duplicateValues" dxfId="94" priority="3"/>
  </conditionalFormatting>
  <conditionalFormatting sqref="X29:X30 Y25 X23:Y23 X25:X26">
    <cfRule type="duplicateValues" dxfId="93" priority="1"/>
  </conditionalFormatting>
  <conditionalFormatting sqref="AB24 U22:W22 T23:W30">
    <cfRule type="duplicateValues" dxfId="92" priority="5"/>
  </conditionalFormatting>
  <conditionalFormatting sqref="AB24 V24:W30 T24:T30 U25:U30">
    <cfRule type="duplicateValues" dxfId="91" priority="4"/>
  </conditionalFormatting>
  <pageMargins left="0.7" right="0.7" top="0.75" bottom="0.75" header="0.3" footer="0.3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Q291"/>
  <sheetViews>
    <sheetView tabSelected="1" zoomScaleNormal="100" workbookViewId="0">
      <selection activeCell="A14" sqref="A14"/>
    </sheetView>
  </sheetViews>
  <sheetFormatPr defaultRowHeight="15" x14ac:dyDescent="0.25"/>
  <cols>
    <col min="1" max="1" width="48" customWidth="1"/>
    <col min="2" max="2" width="13.140625" bestFit="1" customWidth="1"/>
    <col min="3" max="3" width="27.140625" customWidth="1"/>
    <col min="4" max="4" width="21.42578125" customWidth="1"/>
    <col min="5" max="5" width="51" bestFit="1" customWidth="1"/>
    <col min="14" max="14" width="42.28515625" customWidth="1"/>
    <col min="17" max="17" width="69.42578125" customWidth="1"/>
  </cols>
  <sheetData>
    <row r="1" spans="1:17" x14ac:dyDescent="0.25">
      <c r="A1" t="s">
        <v>71</v>
      </c>
      <c r="B1" t="s">
        <v>72</v>
      </c>
      <c r="C1" t="s">
        <v>73</v>
      </c>
      <c r="D1" t="s">
        <v>74</v>
      </c>
      <c r="E1" t="s">
        <v>47</v>
      </c>
      <c r="F1" t="s">
        <v>75</v>
      </c>
      <c r="Q1" s="10"/>
    </row>
    <row r="2" spans="1:17" x14ac:dyDescent="0.25">
      <c r="A2" t="s">
        <v>382</v>
      </c>
      <c r="B2" t="s">
        <v>76</v>
      </c>
      <c r="C2" t="s">
        <v>79</v>
      </c>
      <c r="D2" t="s">
        <v>78</v>
      </c>
      <c r="E2" t="str">
        <f t="shared" ref="E2:E19" si="0">_xlfn.CONCAT(A2,"-",C2,"-",D2)</f>
        <v>1LB - Ground Floor East Core 1 P-Previous To Today Equivalent-month</v>
      </c>
      <c r="F2" t="e">
        <f>#REF!+1</f>
        <v>#REF!</v>
      </c>
    </row>
    <row r="3" spans="1:17" x14ac:dyDescent="0.25">
      <c r="A3" t="s">
        <v>383</v>
      </c>
      <c r="B3" t="s">
        <v>76</v>
      </c>
      <c r="C3" t="s">
        <v>79</v>
      </c>
      <c r="D3" t="s">
        <v>78</v>
      </c>
      <c r="E3" t="str">
        <f t="shared" si="0"/>
        <v>1LB - Ground Floor East Core 1 L-Previous To Today Equivalent-month</v>
      </c>
      <c r="F3" t="e">
        <f t="shared" ref="F3:F28" si="1">F2+1</f>
        <v>#REF!</v>
      </c>
    </row>
    <row r="4" spans="1:17" x14ac:dyDescent="0.25">
      <c r="A4" t="s">
        <v>381</v>
      </c>
      <c r="B4" t="s">
        <v>76</v>
      </c>
      <c r="C4" t="s">
        <v>79</v>
      </c>
      <c r="D4" t="s">
        <v>78</v>
      </c>
      <c r="E4" t="str">
        <f t="shared" si="0"/>
        <v>1LB - FL1 East Core 1 L-Previous To Today Equivalent-month</v>
      </c>
      <c r="F4" t="e">
        <f t="shared" si="1"/>
        <v>#REF!</v>
      </c>
    </row>
    <row r="5" spans="1:17" x14ac:dyDescent="0.25">
      <c r="A5" t="s">
        <v>190</v>
      </c>
      <c r="B5" t="s">
        <v>76</v>
      </c>
      <c r="C5" t="s">
        <v>79</v>
      </c>
      <c r="D5" t="s">
        <v>78</v>
      </c>
      <c r="E5" t="str">
        <f t="shared" si="0"/>
        <v>1LB - FL1 East Core 1 P-Previous To Today Equivalent-month</v>
      </c>
      <c r="F5" t="e">
        <f t="shared" si="1"/>
        <v>#REF!</v>
      </c>
    </row>
    <row r="6" spans="1:17" x14ac:dyDescent="0.25">
      <c r="A6" t="s">
        <v>191</v>
      </c>
      <c r="B6" t="s">
        <v>76</v>
      </c>
      <c r="C6" t="s">
        <v>79</v>
      </c>
      <c r="D6" t="s">
        <v>78</v>
      </c>
      <c r="E6" t="str">
        <f t="shared" si="0"/>
        <v>1LB - FL1 East Core 2 P-Previous To Today Equivalent-month</v>
      </c>
      <c r="F6" t="e">
        <f t="shared" si="1"/>
        <v>#REF!</v>
      </c>
    </row>
    <row r="7" spans="1:17" x14ac:dyDescent="0.25">
      <c r="A7" t="s">
        <v>192</v>
      </c>
      <c r="B7" t="s">
        <v>76</v>
      </c>
      <c r="C7" t="s">
        <v>79</v>
      </c>
      <c r="D7" t="s">
        <v>78</v>
      </c>
      <c r="E7" t="str">
        <f t="shared" si="0"/>
        <v>1LB - FL1 East Core 2 L-Previous To Today Equivalent-month</v>
      </c>
      <c r="F7" t="e">
        <f t="shared" si="1"/>
        <v>#REF!</v>
      </c>
    </row>
    <row r="8" spans="1:17" x14ac:dyDescent="0.25">
      <c r="A8" t="s">
        <v>193</v>
      </c>
      <c r="B8" t="s">
        <v>76</v>
      </c>
      <c r="C8" t="s">
        <v>79</v>
      </c>
      <c r="D8" t="s">
        <v>78</v>
      </c>
      <c r="E8" t="str">
        <f t="shared" si="0"/>
        <v>1LB - FL2 East Core 1 P-Previous To Today Equivalent-month</v>
      </c>
      <c r="F8" t="e">
        <f t="shared" si="1"/>
        <v>#REF!</v>
      </c>
    </row>
    <row r="9" spans="1:17" x14ac:dyDescent="0.25">
      <c r="A9" t="s">
        <v>194</v>
      </c>
      <c r="B9" t="s">
        <v>76</v>
      </c>
      <c r="C9" t="s">
        <v>79</v>
      </c>
      <c r="D9" t="s">
        <v>78</v>
      </c>
      <c r="E9" t="str">
        <f t="shared" si="0"/>
        <v>1LB - FL2 East Core 1 L-Previous To Today Equivalent-month</v>
      </c>
      <c r="F9" t="e">
        <f t="shared" si="1"/>
        <v>#REF!</v>
      </c>
    </row>
    <row r="10" spans="1:17" x14ac:dyDescent="0.25">
      <c r="A10" t="s">
        <v>195</v>
      </c>
      <c r="B10" t="s">
        <v>76</v>
      </c>
      <c r="C10" t="s">
        <v>79</v>
      </c>
      <c r="D10" t="s">
        <v>78</v>
      </c>
      <c r="E10" t="str">
        <f t="shared" si="0"/>
        <v>1LB - FL2 East Core 2 P-Previous To Today Equivalent-month</v>
      </c>
      <c r="F10" t="e">
        <f t="shared" si="1"/>
        <v>#REF!</v>
      </c>
    </row>
    <row r="11" spans="1:17" x14ac:dyDescent="0.25">
      <c r="A11" t="s">
        <v>196</v>
      </c>
      <c r="B11" t="s">
        <v>76</v>
      </c>
      <c r="C11" t="s">
        <v>79</v>
      </c>
      <c r="D11" t="s">
        <v>78</v>
      </c>
      <c r="E11" t="str">
        <f t="shared" si="0"/>
        <v>1LB - FL2 East Core 2 L-Previous To Today Equivalent-month</v>
      </c>
      <c r="F11" t="e">
        <f t="shared" si="1"/>
        <v>#REF!</v>
      </c>
    </row>
    <row r="12" spans="1:17" x14ac:dyDescent="0.25">
      <c r="A12" t="s">
        <v>197</v>
      </c>
      <c r="B12" t="s">
        <v>76</v>
      </c>
      <c r="C12" t="s">
        <v>79</v>
      </c>
      <c r="D12" t="s">
        <v>78</v>
      </c>
      <c r="E12" t="str">
        <f t="shared" si="0"/>
        <v>1LB - FL3 East Core 1 P-Previous To Today Equivalent-month</v>
      </c>
      <c r="F12" t="e">
        <f t="shared" si="1"/>
        <v>#REF!</v>
      </c>
    </row>
    <row r="13" spans="1:17" x14ac:dyDescent="0.25">
      <c r="A13" t="s">
        <v>198</v>
      </c>
      <c r="B13" t="s">
        <v>76</v>
      </c>
      <c r="C13" t="s">
        <v>79</v>
      </c>
      <c r="D13" t="s">
        <v>78</v>
      </c>
      <c r="E13" t="str">
        <f t="shared" si="0"/>
        <v>1LB - FL3 East Core 1 L-Previous To Today Equivalent-month</v>
      </c>
      <c r="F13" t="e">
        <f t="shared" si="1"/>
        <v>#REF!</v>
      </c>
    </row>
    <row r="14" spans="1:17" x14ac:dyDescent="0.25">
      <c r="A14" t="s">
        <v>199</v>
      </c>
      <c r="B14" t="s">
        <v>76</v>
      </c>
      <c r="C14" t="s">
        <v>79</v>
      </c>
      <c r="D14" t="s">
        <v>78</v>
      </c>
      <c r="E14" t="str">
        <f t="shared" si="0"/>
        <v>1LB - FL3 East Core 2 P-Previous To Today Equivalent-month</v>
      </c>
      <c r="F14" t="e">
        <f t="shared" si="1"/>
        <v>#REF!</v>
      </c>
    </row>
    <row r="15" spans="1:17" x14ac:dyDescent="0.25">
      <c r="A15" t="s">
        <v>200</v>
      </c>
      <c r="B15" t="s">
        <v>76</v>
      </c>
      <c r="C15" t="s">
        <v>79</v>
      </c>
      <c r="D15" t="s">
        <v>78</v>
      </c>
      <c r="E15" t="str">
        <f t="shared" si="0"/>
        <v>1LB - FL3 East Core 2 L-Previous To Today Equivalent-month</v>
      </c>
      <c r="F15" t="e">
        <f t="shared" si="1"/>
        <v>#REF!</v>
      </c>
    </row>
    <row r="16" spans="1:17" x14ac:dyDescent="0.25">
      <c r="A16" t="s">
        <v>201</v>
      </c>
      <c r="B16" t="s">
        <v>76</v>
      </c>
      <c r="C16" t="s">
        <v>79</v>
      </c>
      <c r="D16" t="s">
        <v>78</v>
      </c>
      <c r="E16" t="str">
        <f t="shared" si="0"/>
        <v>1LB - FL3 East Core 2 Metering Panel 1-Previous To Today Equivalent-month</v>
      </c>
      <c r="F16" t="e">
        <f t="shared" si="1"/>
        <v>#REF!</v>
      </c>
    </row>
    <row r="17" spans="1:6" x14ac:dyDescent="0.25">
      <c r="A17" t="s">
        <v>202</v>
      </c>
      <c r="B17" t="s">
        <v>76</v>
      </c>
      <c r="C17" t="s">
        <v>79</v>
      </c>
      <c r="D17" t="s">
        <v>78</v>
      </c>
      <c r="E17" t="str">
        <f t="shared" si="0"/>
        <v>1LB - FL4 East Core 1 P-Previous To Today Equivalent-month</v>
      </c>
      <c r="F17" t="e">
        <f t="shared" si="1"/>
        <v>#REF!</v>
      </c>
    </row>
    <row r="18" spans="1:6" x14ac:dyDescent="0.25">
      <c r="A18" t="s">
        <v>203</v>
      </c>
      <c r="B18" t="s">
        <v>76</v>
      </c>
      <c r="C18" t="s">
        <v>79</v>
      </c>
      <c r="D18" t="s">
        <v>78</v>
      </c>
      <c r="E18" t="str">
        <f t="shared" si="0"/>
        <v>1LB - FL4 East Core 1 L-Previous To Today Equivalent-month</v>
      </c>
      <c r="F18" t="e">
        <f t="shared" si="1"/>
        <v>#REF!</v>
      </c>
    </row>
    <row r="19" spans="1:6" x14ac:dyDescent="0.25">
      <c r="A19" t="s">
        <v>204</v>
      </c>
      <c r="B19" t="s">
        <v>76</v>
      </c>
      <c r="C19" t="s">
        <v>79</v>
      </c>
      <c r="D19" t="s">
        <v>78</v>
      </c>
      <c r="E19" t="str">
        <f t="shared" si="0"/>
        <v>1LB - FL4 East Core 2 P-Previous To Today Equivalent-month</v>
      </c>
      <c r="F19" t="e">
        <f t="shared" si="1"/>
        <v>#REF!</v>
      </c>
    </row>
    <row r="20" spans="1:6" x14ac:dyDescent="0.25">
      <c r="A20" t="s">
        <v>205</v>
      </c>
      <c r="B20" t="s">
        <v>76</v>
      </c>
      <c r="C20" t="s">
        <v>79</v>
      </c>
      <c r="D20" t="s">
        <v>78</v>
      </c>
      <c r="E20" t="str">
        <f t="shared" ref="E20:E73" si="2">_xlfn.CONCAT(A20,"-",C20,"-",D20)</f>
        <v>1LB - FL4 East Core 2 L-Previous To Today Equivalent-month</v>
      </c>
      <c r="F20" t="e">
        <f t="shared" si="1"/>
        <v>#REF!</v>
      </c>
    </row>
    <row r="21" spans="1:6" x14ac:dyDescent="0.25">
      <c r="A21" t="s">
        <v>206</v>
      </c>
      <c r="B21" t="s">
        <v>76</v>
      </c>
      <c r="C21" t="s">
        <v>79</v>
      </c>
      <c r="D21" t="s">
        <v>78</v>
      </c>
      <c r="E21" t="str">
        <f t="shared" si="2"/>
        <v>1LB - FL5 East Core 1 P-Previous To Today Equivalent-month</v>
      </c>
      <c r="F21" t="e">
        <f t="shared" si="1"/>
        <v>#REF!</v>
      </c>
    </row>
    <row r="22" spans="1:6" x14ac:dyDescent="0.25">
      <c r="A22" t="s">
        <v>207</v>
      </c>
      <c r="B22" t="s">
        <v>76</v>
      </c>
      <c r="C22" t="s">
        <v>79</v>
      </c>
      <c r="D22" t="s">
        <v>78</v>
      </c>
      <c r="E22" t="str">
        <f t="shared" si="2"/>
        <v>1LB - FL5 East Core 1 L-Previous To Today Equivalent-month</v>
      </c>
      <c r="F22" t="e">
        <f t="shared" si="1"/>
        <v>#REF!</v>
      </c>
    </row>
    <row r="23" spans="1:6" x14ac:dyDescent="0.25">
      <c r="A23" t="s">
        <v>208</v>
      </c>
      <c r="B23" t="s">
        <v>76</v>
      </c>
      <c r="C23" t="s">
        <v>79</v>
      </c>
      <c r="D23" t="s">
        <v>78</v>
      </c>
      <c r="E23" t="str">
        <f t="shared" si="2"/>
        <v>1LB - FL5 East Core 2 P-Previous To Today Equivalent-month</v>
      </c>
      <c r="F23" t="e">
        <f t="shared" si="1"/>
        <v>#REF!</v>
      </c>
    </row>
    <row r="24" spans="1:6" x14ac:dyDescent="0.25">
      <c r="A24" t="s">
        <v>209</v>
      </c>
      <c r="B24" t="s">
        <v>76</v>
      </c>
      <c r="C24" t="s">
        <v>79</v>
      </c>
      <c r="D24" t="s">
        <v>78</v>
      </c>
      <c r="E24" t="str">
        <f t="shared" si="2"/>
        <v>1LB - FL5 East Core 2 L-Previous To Today Equivalent-month</v>
      </c>
      <c r="F24" t="e">
        <f t="shared" si="1"/>
        <v>#REF!</v>
      </c>
    </row>
    <row r="25" spans="1:6" x14ac:dyDescent="0.25">
      <c r="A25" t="s">
        <v>210</v>
      </c>
      <c r="B25" t="s">
        <v>76</v>
      </c>
      <c r="C25" t="s">
        <v>79</v>
      </c>
      <c r="D25" t="s">
        <v>78</v>
      </c>
      <c r="E25" t="str">
        <f t="shared" si="2"/>
        <v>1LB - FL6 East Core 1 P-Previous To Today Equivalent-month</v>
      </c>
      <c r="F25" t="e">
        <f t="shared" si="1"/>
        <v>#REF!</v>
      </c>
    </row>
    <row r="26" spans="1:6" x14ac:dyDescent="0.25">
      <c r="A26" t="s">
        <v>211</v>
      </c>
      <c r="B26" t="s">
        <v>76</v>
      </c>
      <c r="C26" t="s">
        <v>79</v>
      </c>
      <c r="D26" t="s">
        <v>78</v>
      </c>
      <c r="E26" t="str">
        <f t="shared" si="2"/>
        <v>1LB - FL6 East Core 1 L-Previous To Today Equivalent-month</v>
      </c>
      <c r="F26" t="e">
        <f t="shared" si="1"/>
        <v>#REF!</v>
      </c>
    </row>
    <row r="27" spans="1:6" x14ac:dyDescent="0.25">
      <c r="A27" t="s">
        <v>212</v>
      </c>
      <c r="B27" t="s">
        <v>76</v>
      </c>
      <c r="C27" t="s">
        <v>79</v>
      </c>
      <c r="D27" t="s">
        <v>78</v>
      </c>
      <c r="E27" t="str">
        <f t="shared" si="2"/>
        <v>1LB - FL6 East Core 2 P-Previous To Today Equivalent-month</v>
      </c>
      <c r="F27" t="e">
        <f t="shared" si="1"/>
        <v>#REF!</v>
      </c>
    </row>
    <row r="28" spans="1:6" x14ac:dyDescent="0.25">
      <c r="A28" t="s">
        <v>213</v>
      </c>
      <c r="B28" t="s">
        <v>76</v>
      </c>
      <c r="C28" t="s">
        <v>79</v>
      </c>
      <c r="D28" t="s">
        <v>78</v>
      </c>
      <c r="E28" t="str">
        <f t="shared" si="2"/>
        <v>1LB - FL6 East Core 2 L-Previous To Today Equivalent-month</v>
      </c>
      <c r="F28" t="e">
        <f t="shared" si="1"/>
        <v>#REF!</v>
      </c>
    </row>
    <row r="29" spans="1:6" x14ac:dyDescent="0.25">
      <c r="A29" t="s">
        <v>214</v>
      </c>
      <c r="B29" t="s">
        <v>76</v>
      </c>
      <c r="C29" t="s">
        <v>79</v>
      </c>
      <c r="D29" t="s">
        <v>78</v>
      </c>
      <c r="E29" t="str">
        <f t="shared" si="2"/>
        <v>1LB - FL7 East Core 1 P-Previous To Today Equivalent-month</v>
      </c>
      <c r="F29" t="e">
        <f t="shared" ref="F29:F73" si="3">F28+1</f>
        <v>#REF!</v>
      </c>
    </row>
    <row r="30" spans="1:6" x14ac:dyDescent="0.25">
      <c r="A30" t="s">
        <v>215</v>
      </c>
      <c r="B30" t="s">
        <v>76</v>
      </c>
      <c r="C30" t="s">
        <v>79</v>
      </c>
      <c r="D30" t="s">
        <v>78</v>
      </c>
      <c r="E30" t="str">
        <f t="shared" si="2"/>
        <v>1LB - FL7 East Core 1 L-Previous To Today Equivalent-month</v>
      </c>
      <c r="F30" t="e">
        <f t="shared" si="3"/>
        <v>#REF!</v>
      </c>
    </row>
    <row r="31" spans="1:6" x14ac:dyDescent="0.25">
      <c r="A31" t="s">
        <v>216</v>
      </c>
      <c r="B31" t="s">
        <v>76</v>
      </c>
      <c r="C31" t="s">
        <v>79</v>
      </c>
      <c r="D31" t="s">
        <v>78</v>
      </c>
      <c r="E31" t="str">
        <f t="shared" si="2"/>
        <v>1LB - FL7 East Core 2 P-Previous To Today Equivalent-month</v>
      </c>
      <c r="F31" t="e">
        <f t="shared" si="3"/>
        <v>#REF!</v>
      </c>
    </row>
    <row r="32" spans="1:6" x14ac:dyDescent="0.25">
      <c r="A32" t="s">
        <v>217</v>
      </c>
      <c r="B32" t="s">
        <v>76</v>
      </c>
      <c r="C32" t="s">
        <v>79</v>
      </c>
      <c r="D32" t="s">
        <v>78</v>
      </c>
      <c r="E32" t="str">
        <f t="shared" si="2"/>
        <v>1LB - FL7 East Core 2 L-Previous To Today Equivalent-month</v>
      </c>
      <c r="F32" t="e">
        <f t="shared" si="3"/>
        <v>#REF!</v>
      </c>
    </row>
    <row r="33" spans="1:6" x14ac:dyDescent="0.25">
      <c r="A33" t="s">
        <v>218</v>
      </c>
      <c r="B33" t="s">
        <v>76</v>
      </c>
      <c r="C33" t="s">
        <v>79</v>
      </c>
      <c r="D33" t="s">
        <v>78</v>
      </c>
      <c r="E33" t="str">
        <f t="shared" si="2"/>
        <v>1LB - FL8 East Core 1 P-Previous To Today Equivalent-month</v>
      </c>
      <c r="F33" t="e">
        <f t="shared" si="3"/>
        <v>#REF!</v>
      </c>
    </row>
    <row r="34" spans="1:6" x14ac:dyDescent="0.25">
      <c r="A34" t="s">
        <v>219</v>
      </c>
      <c r="B34" t="s">
        <v>76</v>
      </c>
      <c r="C34" t="s">
        <v>79</v>
      </c>
      <c r="D34" t="s">
        <v>78</v>
      </c>
      <c r="E34" t="str">
        <f t="shared" si="2"/>
        <v>1LB - FL8 East Core 1 L-Previous To Today Equivalent-month</v>
      </c>
      <c r="F34" t="e">
        <f t="shared" si="3"/>
        <v>#REF!</v>
      </c>
    </row>
    <row r="35" spans="1:6" x14ac:dyDescent="0.25">
      <c r="A35" t="s">
        <v>220</v>
      </c>
      <c r="B35" t="s">
        <v>76</v>
      </c>
      <c r="C35" t="s">
        <v>79</v>
      </c>
      <c r="D35" t="s">
        <v>78</v>
      </c>
      <c r="E35" t="str">
        <f t="shared" si="2"/>
        <v>1LB - FL8 East Core 2 P-Previous To Today Equivalent-month</v>
      </c>
      <c r="F35" t="e">
        <f t="shared" si="3"/>
        <v>#REF!</v>
      </c>
    </row>
    <row r="36" spans="1:6" x14ac:dyDescent="0.25">
      <c r="A36" t="s">
        <v>221</v>
      </c>
      <c r="B36" t="s">
        <v>76</v>
      </c>
      <c r="C36" t="s">
        <v>79</v>
      </c>
      <c r="D36" t="s">
        <v>78</v>
      </c>
      <c r="E36" t="str">
        <f t="shared" si="2"/>
        <v>1LB - FL8 East Core 2 L-Previous To Today Equivalent-month</v>
      </c>
      <c r="F36" t="e">
        <f t="shared" si="3"/>
        <v>#REF!</v>
      </c>
    </row>
    <row r="37" spans="1:6" x14ac:dyDescent="0.25">
      <c r="A37" t="s">
        <v>222</v>
      </c>
      <c r="B37" t="s">
        <v>76</v>
      </c>
      <c r="C37" t="s">
        <v>79</v>
      </c>
      <c r="D37" t="s">
        <v>78</v>
      </c>
      <c r="E37" t="str">
        <f t="shared" si="2"/>
        <v>1LB - FL9 East Core 1 P-Previous To Today Equivalent-month</v>
      </c>
      <c r="F37" t="e">
        <f t="shared" si="3"/>
        <v>#REF!</v>
      </c>
    </row>
    <row r="38" spans="1:6" x14ac:dyDescent="0.25">
      <c r="A38" t="s">
        <v>223</v>
      </c>
      <c r="B38" t="s">
        <v>76</v>
      </c>
      <c r="C38" t="s">
        <v>79</v>
      </c>
      <c r="D38" t="s">
        <v>78</v>
      </c>
      <c r="E38" t="str">
        <f t="shared" si="2"/>
        <v>1LB - FL9 East Core 1 L-Previous To Today Equivalent-month</v>
      </c>
      <c r="F38" t="e">
        <f t="shared" si="3"/>
        <v>#REF!</v>
      </c>
    </row>
    <row r="39" spans="1:6" x14ac:dyDescent="0.25">
      <c r="A39" t="s">
        <v>224</v>
      </c>
      <c r="B39" t="s">
        <v>76</v>
      </c>
      <c r="C39" t="s">
        <v>79</v>
      </c>
      <c r="D39" t="s">
        <v>78</v>
      </c>
      <c r="E39" t="str">
        <f t="shared" si="2"/>
        <v>1LB - FL9 East Core 2 P-Previous To Today Equivalent-month</v>
      </c>
      <c r="F39" t="e">
        <f t="shared" si="3"/>
        <v>#REF!</v>
      </c>
    </row>
    <row r="40" spans="1:6" x14ac:dyDescent="0.25">
      <c r="A40" t="s">
        <v>225</v>
      </c>
      <c r="B40" t="s">
        <v>76</v>
      </c>
      <c r="C40" t="s">
        <v>79</v>
      </c>
      <c r="D40" t="s">
        <v>78</v>
      </c>
      <c r="E40" t="str">
        <f t="shared" si="2"/>
        <v>1LB - FL9 East Core 2 L-Previous To Today Equivalent-month</v>
      </c>
      <c r="F40" t="e">
        <f t="shared" si="3"/>
        <v>#REF!</v>
      </c>
    </row>
    <row r="41" spans="1:6" x14ac:dyDescent="0.25">
      <c r="A41" t="s">
        <v>226</v>
      </c>
      <c r="B41" t="s">
        <v>76</v>
      </c>
      <c r="C41" t="s">
        <v>79</v>
      </c>
      <c r="D41" t="s">
        <v>78</v>
      </c>
      <c r="E41" t="str">
        <f t="shared" si="2"/>
        <v>1LB - FL11 West Core 2 L-Previous To Today Equivalent-month</v>
      </c>
      <c r="F41" t="e">
        <f t="shared" si="3"/>
        <v>#REF!</v>
      </c>
    </row>
    <row r="42" spans="1:6" x14ac:dyDescent="0.25">
      <c r="A42" t="s">
        <v>239</v>
      </c>
      <c r="B42" t="s">
        <v>76</v>
      </c>
      <c r="C42" t="s">
        <v>79</v>
      </c>
      <c r="D42" t="s">
        <v>78</v>
      </c>
      <c r="E42" t="str">
        <f t="shared" si="2"/>
        <v>1LB - Floor 01 East Electricity-Previous To Today Equivalent-month</v>
      </c>
      <c r="F42" t="e">
        <f t="shared" si="3"/>
        <v>#REF!</v>
      </c>
    </row>
    <row r="43" spans="1:6" x14ac:dyDescent="0.25">
      <c r="A43" t="s">
        <v>240</v>
      </c>
      <c r="B43" t="s">
        <v>76</v>
      </c>
      <c r="C43" t="s">
        <v>79</v>
      </c>
      <c r="D43" t="s">
        <v>78</v>
      </c>
      <c r="E43" t="str">
        <f t="shared" si="2"/>
        <v>1LB - Floor 02 East Electricity-Previous To Today Equivalent-month</v>
      </c>
      <c r="F43" t="e">
        <f t="shared" si="3"/>
        <v>#REF!</v>
      </c>
    </row>
    <row r="44" spans="1:6" x14ac:dyDescent="0.25">
      <c r="A44" t="s">
        <v>241</v>
      </c>
      <c r="B44" t="s">
        <v>76</v>
      </c>
      <c r="C44" t="s">
        <v>79</v>
      </c>
      <c r="D44" t="s">
        <v>78</v>
      </c>
      <c r="E44" t="str">
        <f t="shared" si="2"/>
        <v>1LB - Floor 03 East Electricity-Previous To Today Equivalent-month</v>
      </c>
      <c r="F44" t="e">
        <f t="shared" si="3"/>
        <v>#REF!</v>
      </c>
    </row>
    <row r="45" spans="1:6" x14ac:dyDescent="0.25">
      <c r="A45" t="s">
        <v>242</v>
      </c>
      <c r="B45" t="s">
        <v>76</v>
      </c>
      <c r="C45" t="s">
        <v>79</v>
      </c>
      <c r="D45" t="s">
        <v>78</v>
      </c>
      <c r="E45" t="str">
        <f t="shared" si="2"/>
        <v>1LB - Floor 04 East Electricity-Previous To Today Equivalent-month</v>
      </c>
      <c r="F45" t="e">
        <f t="shared" si="3"/>
        <v>#REF!</v>
      </c>
    </row>
    <row r="46" spans="1:6" x14ac:dyDescent="0.25">
      <c r="A46" t="s">
        <v>243</v>
      </c>
      <c r="B46" t="s">
        <v>76</v>
      </c>
      <c r="C46" t="s">
        <v>79</v>
      </c>
      <c r="D46" t="s">
        <v>78</v>
      </c>
      <c r="E46" t="str">
        <f t="shared" si="2"/>
        <v>1LB - Floor 05 East Electricity-Previous To Today Equivalent-month</v>
      </c>
      <c r="F46" t="e">
        <f t="shared" si="3"/>
        <v>#REF!</v>
      </c>
    </row>
    <row r="47" spans="1:6" x14ac:dyDescent="0.25">
      <c r="A47" t="s">
        <v>244</v>
      </c>
      <c r="B47" t="s">
        <v>76</v>
      </c>
      <c r="C47" t="s">
        <v>79</v>
      </c>
      <c r="D47" t="s">
        <v>78</v>
      </c>
      <c r="E47" t="str">
        <f t="shared" si="2"/>
        <v>1LB - Floor 06 East Electricity-Previous To Today Equivalent-month</v>
      </c>
      <c r="F47" t="e">
        <f t="shared" si="3"/>
        <v>#REF!</v>
      </c>
    </row>
    <row r="48" spans="1:6" x14ac:dyDescent="0.25">
      <c r="A48" t="s">
        <v>245</v>
      </c>
      <c r="B48" t="s">
        <v>76</v>
      </c>
      <c r="C48" t="s">
        <v>79</v>
      </c>
      <c r="D48" t="s">
        <v>78</v>
      </c>
      <c r="E48" t="str">
        <f t="shared" si="2"/>
        <v>1LB - Floor 07 East Electricity-Previous To Today Equivalent-month</v>
      </c>
      <c r="F48" t="e">
        <f t="shared" si="3"/>
        <v>#REF!</v>
      </c>
    </row>
    <row r="49" spans="1:6" x14ac:dyDescent="0.25">
      <c r="A49" t="s">
        <v>246</v>
      </c>
      <c r="B49" t="s">
        <v>76</v>
      </c>
      <c r="C49" t="s">
        <v>79</v>
      </c>
      <c r="D49" t="s">
        <v>78</v>
      </c>
      <c r="E49" t="str">
        <f t="shared" si="2"/>
        <v>1LB - Floor 08 East Electricity-Previous To Today Equivalent-month</v>
      </c>
      <c r="F49" t="e">
        <f t="shared" si="3"/>
        <v>#REF!</v>
      </c>
    </row>
    <row r="50" spans="1:6" x14ac:dyDescent="0.25">
      <c r="A50" t="s">
        <v>247</v>
      </c>
      <c r="B50" t="s">
        <v>76</v>
      </c>
      <c r="C50" t="s">
        <v>79</v>
      </c>
      <c r="D50" t="s">
        <v>78</v>
      </c>
      <c r="E50" t="str">
        <f t="shared" si="2"/>
        <v>1LB - Floor 09 East Electricity-Previous To Today Equivalent-month</v>
      </c>
      <c r="F50" t="e">
        <f t="shared" si="3"/>
        <v>#REF!</v>
      </c>
    </row>
    <row r="51" spans="1:6" x14ac:dyDescent="0.25">
      <c r="A51" t="s">
        <v>248</v>
      </c>
      <c r="B51" t="s">
        <v>76</v>
      </c>
      <c r="C51" t="s">
        <v>79</v>
      </c>
      <c r="D51" t="s">
        <v>78</v>
      </c>
      <c r="E51" t="str">
        <f t="shared" si="2"/>
        <v>1LB - Floor 02 West Electricity-Previous To Today Equivalent-month</v>
      </c>
      <c r="F51" t="e">
        <f t="shared" si="3"/>
        <v>#REF!</v>
      </c>
    </row>
    <row r="52" spans="1:6" x14ac:dyDescent="0.25">
      <c r="A52" t="s">
        <v>249</v>
      </c>
      <c r="B52" t="s">
        <v>76</v>
      </c>
      <c r="C52" t="s">
        <v>79</v>
      </c>
      <c r="D52" t="s">
        <v>78</v>
      </c>
      <c r="E52" t="str">
        <f t="shared" si="2"/>
        <v>1LB - Floor 03 West Electricity-Previous To Today Equivalent-month</v>
      </c>
      <c r="F52" t="e">
        <f t="shared" si="3"/>
        <v>#REF!</v>
      </c>
    </row>
    <row r="53" spans="1:6" x14ac:dyDescent="0.25">
      <c r="A53" t="s">
        <v>250</v>
      </c>
      <c r="B53" t="s">
        <v>76</v>
      </c>
      <c r="C53" t="s">
        <v>79</v>
      </c>
      <c r="D53" t="s">
        <v>78</v>
      </c>
      <c r="E53" t="str">
        <f t="shared" si="2"/>
        <v>1LB - Floor 04 West Electricity-Previous To Today Equivalent-month</v>
      </c>
      <c r="F53" t="e">
        <f t="shared" si="3"/>
        <v>#REF!</v>
      </c>
    </row>
    <row r="54" spans="1:6" x14ac:dyDescent="0.25">
      <c r="A54" t="s">
        <v>251</v>
      </c>
      <c r="B54" t="s">
        <v>76</v>
      </c>
      <c r="C54" t="s">
        <v>79</v>
      </c>
      <c r="D54" t="s">
        <v>78</v>
      </c>
      <c r="E54" t="str">
        <f t="shared" si="2"/>
        <v>1LB - Floor 05 West Electricity-Previous To Today Equivalent-month</v>
      </c>
      <c r="F54" t="e">
        <f t="shared" si="3"/>
        <v>#REF!</v>
      </c>
    </row>
    <row r="55" spans="1:6" x14ac:dyDescent="0.25">
      <c r="A55" t="s">
        <v>252</v>
      </c>
      <c r="B55" t="s">
        <v>76</v>
      </c>
      <c r="C55" t="s">
        <v>79</v>
      </c>
      <c r="D55" t="s">
        <v>78</v>
      </c>
      <c r="E55" t="str">
        <f t="shared" si="2"/>
        <v>1LB - Floor 06 West Electricity-Previous To Today Equivalent-month</v>
      </c>
      <c r="F55" t="e">
        <f t="shared" si="3"/>
        <v>#REF!</v>
      </c>
    </row>
    <row r="56" spans="1:6" x14ac:dyDescent="0.25">
      <c r="A56" t="s">
        <v>253</v>
      </c>
      <c r="B56" t="s">
        <v>76</v>
      </c>
      <c r="C56" t="s">
        <v>79</v>
      </c>
      <c r="D56" t="s">
        <v>78</v>
      </c>
      <c r="E56" t="str">
        <f t="shared" si="2"/>
        <v>1LB - Floor 07 West Electricity-Previous To Today Equivalent-month</v>
      </c>
      <c r="F56" t="e">
        <f t="shared" si="3"/>
        <v>#REF!</v>
      </c>
    </row>
    <row r="57" spans="1:6" x14ac:dyDescent="0.25">
      <c r="A57" t="s">
        <v>254</v>
      </c>
      <c r="B57" t="s">
        <v>76</v>
      </c>
      <c r="C57" t="s">
        <v>79</v>
      </c>
      <c r="D57" t="s">
        <v>78</v>
      </c>
      <c r="E57" t="str">
        <f t="shared" si="2"/>
        <v>1LB - Floor 08 West Electricity-Previous To Today Equivalent-month</v>
      </c>
      <c r="F57" t="e">
        <f t="shared" si="3"/>
        <v>#REF!</v>
      </c>
    </row>
    <row r="58" spans="1:6" x14ac:dyDescent="0.25">
      <c r="A58" t="s">
        <v>255</v>
      </c>
      <c r="B58" t="s">
        <v>76</v>
      </c>
      <c r="C58" t="s">
        <v>79</v>
      </c>
      <c r="D58" t="s">
        <v>78</v>
      </c>
      <c r="E58" t="str">
        <f t="shared" si="2"/>
        <v>1LB - Floor 09 West Electricity-Previous To Today Equivalent-month</v>
      </c>
      <c r="F58" t="e">
        <f t="shared" si="3"/>
        <v>#REF!</v>
      </c>
    </row>
    <row r="59" spans="1:6" x14ac:dyDescent="0.25">
      <c r="A59" t="s">
        <v>256</v>
      </c>
      <c r="B59" t="s">
        <v>76</v>
      </c>
      <c r="C59" t="s">
        <v>79</v>
      </c>
      <c r="D59" t="s">
        <v>78</v>
      </c>
      <c r="E59" t="str">
        <f t="shared" si="2"/>
        <v>1LB - Floor 10 West Electricity-Previous To Today Equivalent-month</v>
      </c>
      <c r="F59" t="e">
        <f t="shared" si="3"/>
        <v>#REF!</v>
      </c>
    </row>
    <row r="60" spans="1:6" x14ac:dyDescent="0.25">
      <c r="A60" t="s">
        <v>257</v>
      </c>
      <c r="B60" t="s">
        <v>76</v>
      </c>
      <c r="C60" t="s">
        <v>79</v>
      </c>
      <c r="D60" t="s">
        <v>78</v>
      </c>
      <c r="E60" t="str">
        <f t="shared" si="2"/>
        <v>1LB - Floor 11 West Electricity-Previous To Today Equivalent-month</v>
      </c>
      <c r="F60" t="e">
        <f t="shared" si="3"/>
        <v>#REF!</v>
      </c>
    </row>
    <row r="61" spans="1:6" x14ac:dyDescent="0.25">
      <c r="A61" t="s">
        <v>258</v>
      </c>
      <c r="B61" t="s">
        <v>76</v>
      </c>
      <c r="C61" t="s">
        <v>79</v>
      </c>
      <c r="D61" t="s">
        <v>78</v>
      </c>
      <c r="E61" t="str">
        <f t="shared" si="2"/>
        <v>1LB - Floor 12 West Electricity-Previous To Today Equivalent-month</v>
      </c>
      <c r="F61" t="e">
        <f t="shared" si="3"/>
        <v>#REF!</v>
      </c>
    </row>
    <row r="62" spans="1:6" x14ac:dyDescent="0.25">
      <c r="A62" t="s">
        <v>227</v>
      </c>
      <c r="B62" t="s">
        <v>76</v>
      </c>
      <c r="C62" t="s">
        <v>79</v>
      </c>
      <c r="D62" t="s">
        <v>78</v>
      </c>
      <c r="E62" t="str">
        <f t="shared" si="2"/>
        <v>1LB - Floor 01 Total Electricity-Previous To Today Equivalent-month</v>
      </c>
      <c r="F62" t="e">
        <f t="shared" si="3"/>
        <v>#REF!</v>
      </c>
    </row>
    <row r="63" spans="1:6" x14ac:dyDescent="0.25">
      <c r="A63" t="s">
        <v>228</v>
      </c>
      <c r="B63" t="s">
        <v>76</v>
      </c>
      <c r="C63" t="s">
        <v>79</v>
      </c>
      <c r="D63" t="s">
        <v>78</v>
      </c>
      <c r="E63" t="str">
        <f t="shared" si="2"/>
        <v>1LB - Floor 02 Total Electricity-Previous To Today Equivalent-month</v>
      </c>
      <c r="F63" t="e">
        <f t="shared" si="3"/>
        <v>#REF!</v>
      </c>
    </row>
    <row r="64" spans="1:6" x14ac:dyDescent="0.25">
      <c r="A64" t="s">
        <v>229</v>
      </c>
      <c r="B64" t="s">
        <v>76</v>
      </c>
      <c r="C64" t="s">
        <v>79</v>
      </c>
      <c r="D64" t="s">
        <v>78</v>
      </c>
      <c r="E64" t="str">
        <f t="shared" si="2"/>
        <v>1LB - Floor 03 Total Electricity-Previous To Today Equivalent-month</v>
      </c>
      <c r="F64" t="e">
        <f t="shared" si="3"/>
        <v>#REF!</v>
      </c>
    </row>
    <row r="65" spans="1:6" x14ac:dyDescent="0.25">
      <c r="A65" t="s">
        <v>230</v>
      </c>
      <c r="B65" t="s">
        <v>76</v>
      </c>
      <c r="C65" t="s">
        <v>79</v>
      </c>
      <c r="D65" t="s">
        <v>78</v>
      </c>
      <c r="E65" t="str">
        <f t="shared" si="2"/>
        <v>1LB - Floor 04 Total Electricity-Previous To Today Equivalent-month</v>
      </c>
      <c r="F65" t="e">
        <f t="shared" si="3"/>
        <v>#REF!</v>
      </c>
    </row>
    <row r="66" spans="1:6" x14ac:dyDescent="0.25">
      <c r="A66" t="s">
        <v>231</v>
      </c>
      <c r="B66" t="s">
        <v>76</v>
      </c>
      <c r="C66" t="s">
        <v>79</v>
      </c>
      <c r="D66" t="s">
        <v>78</v>
      </c>
      <c r="E66" t="str">
        <f t="shared" si="2"/>
        <v>1LB - Floor 05 Total Electricity-Previous To Today Equivalent-month</v>
      </c>
      <c r="F66" t="e">
        <f t="shared" si="3"/>
        <v>#REF!</v>
      </c>
    </row>
    <row r="67" spans="1:6" x14ac:dyDescent="0.25">
      <c r="A67" t="s">
        <v>232</v>
      </c>
      <c r="B67" t="s">
        <v>76</v>
      </c>
      <c r="C67" t="s">
        <v>79</v>
      </c>
      <c r="D67" t="s">
        <v>78</v>
      </c>
      <c r="E67" t="str">
        <f t="shared" si="2"/>
        <v>1LB - Floor 06 Total Electricity-Previous To Today Equivalent-month</v>
      </c>
      <c r="F67" t="e">
        <f t="shared" si="3"/>
        <v>#REF!</v>
      </c>
    </row>
    <row r="68" spans="1:6" x14ac:dyDescent="0.25">
      <c r="A68" t="s">
        <v>233</v>
      </c>
      <c r="B68" t="s">
        <v>76</v>
      </c>
      <c r="C68" t="s">
        <v>79</v>
      </c>
      <c r="D68" t="s">
        <v>78</v>
      </c>
      <c r="E68" t="str">
        <f t="shared" si="2"/>
        <v>1LB - Floor 07 Total Electricity-Previous To Today Equivalent-month</v>
      </c>
      <c r="F68" t="e">
        <f t="shared" si="3"/>
        <v>#REF!</v>
      </c>
    </row>
    <row r="69" spans="1:6" x14ac:dyDescent="0.25">
      <c r="A69" t="s">
        <v>234</v>
      </c>
      <c r="B69" t="s">
        <v>76</v>
      </c>
      <c r="C69" t="s">
        <v>79</v>
      </c>
      <c r="D69" t="s">
        <v>78</v>
      </c>
      <c r="E69" t="str">
        <f t="shared" si="2"/>
        <v>1LB - Floor 08 Total Electricity-Previous To Today Equivalent-month</v>
      </c>
      <c r="F69" t="e">
        <f t="shared" si="3"/>
        <v>#REF!</v>
      </c>
    </row>
    <row r="70" spans="1:6" x14ac:dyDescent="0.25">
      <c r="A70" t="s">
        <v>235</v>
      </c>
      <c r="B70" t="s">
        <v>76</v>
      </c>
      <c r="C70" t="s">
        <v>79</v>
      </c>
      <c r="D70" t="s">
        <v>78</v>
      </c>
      <c r="E70" t="str">
        <f t="shared" si="2"/>
        <v>1LB - Floor 09 Total Electricity-Previous To Today Equivalent-month</v>
      </c>
      <c r="F70" t="e">
        <f t="shared" si="3"/>
        <v>#REF!</v>
      </c>
    </row>
    <row r="71" spans="1:6" x14ac:dyDescent="0.25">
      <c r="A71" t="s">
        <v>236</v>
      </c>
      <c r="B71" t="s">
        <v>76</v>
      </c>
      <c r="C71" t="s">
        <v>79</v>
      </c>
      <c r="D71" t="s">
        <v>78</v>
      </c>
      <c r="E71" t="str">
        <f t="shared" si="2"/>
        <v>1LB - Floor 10 Total Electricity-Previous To Today Equivalent-month</v>
      </c>
      <c r="F71" t="e">
        <f t="shared" si="3"/>
        <v>#REF!</v>
      </c>
    </row>
    <row r="72" spans="1:6" x14ac:dyDescent="0.25">
      <c r="A72" t="s">
        <v>237</v>
      </c>
      <c r="B72" t="s">
        <v>76</v>
      </c>
      <c r="C72" t="s">
        <v>79</v>
      </c>
      <c r="D72" t="s">
        <v>78</v>
      </c>
      <c r="E72" t="str">
        <f t="shared" si="2"/>
        <v>1LB - Floor 11 Total Electricity-Previous To Today Equivalent-month</v>
      </c>
      <c r="F72" t="e">
        <f t="shared" si="3"/>
        <v>#REF!</v>
      </c>
    </row>
    <row r="73" spans="1:6" x14ac:dyDescent="0.25">
      <c r="A73" t="s">
        <v>238</v>
      </c>
      <c r="B73" t="s">
        <v>76</v>
      </c>
      <c r="C73" t="s">
        <v>79</v>
      </c>
      <c r="D73" t="s">
        <v>78</v>
      </c>
      <c r="E73" t="str">
        <f t="shared" si="2"/>
        <v>1LB - Floor 12 Total Electricity-Previous To Today Equivalent-month</v>
      </c>
      <c r="F73" t="e">
        <f t="shared" si="3"/>
        <v>#REF!</v>
      </c>
    </row>
    <row r="74" spans="1:6" x14ac:dyDescent="0.25">
      <c r="A74" s="14"/>
    </row>
    <row r="75" spans="1:6" x14ac:dyDescent="0.25">
      <c r="A75" s="14"/>
    </row>
    <row r="76" spans="1:6" x14ac:dyDescent="0.25">
      <c r="A76" s="14"/>
    </row>
    <row r="77" spans="1:6" x14ac:dyDescent="0.25">
      <c r="A77" s="14"/>
    </row>
    <row r="78" spans="1:6" x14ac:dyDescent="0.25">
      <c r="A78" s="14"/>
    </row>
    <row r="79" spans="1:6" x14ac:dyDescent="0.25">
      <c r="A79" s="14"/>
    </row>
    <row r="80" spans="1:6" x14ac:dyDescent="0.25">
      <c r="A80" s="14"/>
    </row>
    <row r="81" spans="1:1" x14ac:dyDescent="0.25">
      <c r="A81" s="14"/>
    </row>
    <row r="82" spans="1:1" x14ac:dyDescent="0.25">
      <c r="A82" s="14"/>
    </row>
    <row r="83" spans="1:1" x14ac:dyDescent="0.25">
      <c r="A83" s="14"/>
    </row>
    <row r="84" spans="1:1" x14ac:dyDescent="0.25">
      <c r="A84" s="14"/>
    </row>
    <row r="85" spans="1:1" x14ac:dyDescent="0.25">
      <c r="A85" s="14"/>
    </row>
    <row r="86" spans="1:1" x14ac:dyDescent="0.25">
      <c r="A86" s="14"/>
    </row>
    <row r="87" spans="1:1" x14ac:dyDescent="0.25">
      <c r="A87" s="14"/>
    </row>
    <row r="88" spans="1:1" x14ac:dyDescent="0.25">
      <c r="A88" s="14"/>
    </row>
    <row r="89" spans="1:1" x14ac:dyDescent="0.25">
      <c r="A89" s="14"/>
    </row>
    <row r="90" spans="1:1" x14ac:dyDescent="0.25">
      <c r="A90" s="14"/>
    </row>
    <row r="91" spans="1:1" x14ac:dyDescent="0.25">
      <c r="A91" s="14"/>
    </row>
    <row r="92" spans="1:1" x14ac:dyDescent="0.25">
      <c r="A92" s="14"/>
    </row>
    <row r="93" spans="1:1" x14ac:dyDescent="0.25">
      <c r="A93" s="14"/>
    </row>
    <row r="94" spans="1:1" x14ac:dyDescent="0.25">
      <c r="A94" s="14"/>
    </row>
    <row r="95" spans="1:1" x14ac:dyDescent="0.25">
      <c r="A95" s="14"/>
    </row>
    <row r="96" spans="1:1" x14ac:dyDescent="0.25">
      <c r="A96" s="14"/>
    </row>
    <row r="97" spans="1:1" x14ac:dyDescent="0.25">
      <c r="A97" s="14"/>
    </row>
    <row r="98" spans="1:1" x14ac:dyDescent="0.25">
      <c r="A98" s="14"/>
    </row>
    <row r="99" spans="1:1" x14ac:dyDescent="0.25">
      <c r="A99" s="14"/>
    </row>
    <row r="100" spans="1:1" x14ac:dyDescent="0.25">
      <c r="A100" s="14"/>
    </row>
    <row r="101" spans="1:1" x14ac:dyDescent="0.25">
      <c r="A101" s="14"/>
    </row>
    <row r="102" spans="1:1" x14ac:dyDescent="0.25">
      <c r="A102" s="14"/>
    </row>
    <row r="103" spans="1:1" x14ac:dyDescent="0.25">
      <c r="A103" s="14"/>
    </row>
    <row r="104" spans="1:1" x14ac:dyDescent="0.25">
      <c r="A104" s="14"/>
    </row>
    <row r="105" spans="1:1" x14ac:dyDescent="0.25">
      <c r="A105" s="14"/>
    </row>
    <row r="106" spans="1:1" x14ac:dyDescent="0.25">
      <c r="A106" s="14"/>
    </row>
    <row r="107" spans="1:1" x14ac:dyDescent="0.25">
      <c r="A107" s="14"/>
    </row>
    <row r="108" spans="1:1" x14ac:dyDescent="0.25">
      <c r="A108" s="14"/>
    </row>
    <row r="109" spans="1:1" x14ac:dyDescent="0.25">
      <c r="A109" s="14"/>
    </row>
    <row r="110" spans="1:1" x14ac:dyDescent="0.25">
      <c r="A110" s="14"/>
    </row>
    <row r="111" spans="1:1" x14ac:dyDescent="0.25">
      <c r="A111" s="14"/>
    </row>
    <row r="112" spans="1:1" x14ac:dyDescent="0.25">
      <c r="A112" s="14"/>
    </row>
    <row r="113" spans="1:1" x14ac:dyDescent="0.25">
      <c r="A113" s="14"/>
    </row>
    <row r="114" spans="1:1" x14ac:dyDescent="0.25">
      <c r="A114" s="14"/>
    </row>
    <row r="115" spans="1:1" x14ac:dyDescent="0.25">
      <c r="A115" s="14"/>
    </row>
    <row r="116" spans="1:1" x14ac:dyDescent="0.25">
      <c r="A116" s="14"/>
    </row>
    <row r="117" spans="1:1" x14ac:dyDescent="0.25">
      <c r="A117" s="14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7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4"/>
    </row>
    <row r="201" spans="1:1" x14ac:dyDescent="0.25">
      <c r="A201" s="14"/>
    </row>
    <row r="202" spans="1:1" x14ac:dyDescent="0.25">
      <c r="A202" s="14"/>
    </row>
    <row r="203" spans="1:1" x14ac:dyDescent="0.25">
      <c r="A203" s="14"/>
    </row>
    <row r="204" spans="1:1" x14ac:dyDescent="0.25">
      <c r="A204" s="14"/>
    </row>
    <row r="205" spans="1:1" x14ac:dyDescent="0.25">
      <c r="A205" s="14"/>
    </row>
    <row r="206" spans="1:1" x14ac:dyDescent="0.25">
      <c r="A206" s="14"/>
    </row>
    <row r="207" spans="1:1" x14ac:dyDescent="0.25">
      <c r="A207" s="14"/>
    </row>
    <row r="208" spans="1:1" x14ac:dyDescent="0.25">
      <c r="A208" s="14"/>
    </row>
    <row r="209" spans="1:1" x14ac:dyDescent="0.25">
      <c r="A209" s="14"/>
    </row>
    <row r="210" spans="1:1" x14ac:dyDescent="0.25">
      <c r="A210" s="14"/>
    </row>
    <row r="211" spans="1:1" x14ac:dyDescent="0.25">
      <c r="A211" s="14"/>
    </row>
    <row r="212" spans="1:1" x14ac:dyDescent="0.25">
      <c r="A212" s="14"/>
    </row>
    <row r="213" spans="1:1" x14ac:dyDescent="0.25">
      <c r="A213" s="14"/>
    </row>
    <row r="214" spans="1:1" x14ac:dyDescent="0.25">
      <c r="A214" s="14"/>
    </row>
    <row r="215" spans="1:1" x14ac:dyDescent="0.25">
      <c r="A215" s="14"/>
    </row>
    <row r="216" spans="1:1" x14ac:dyDescent="0.25">
      <c r="A216" s="14"/>
    </row>
    <row r="217" spans="1:1" x14ac:dyDescent="0.25">
      <c r="A217" s="14"/>
    </row>
    <row r="218" spans="1:1" x14ac:dyDescent="0.25">
      <c r="A218" s="14"/>
    </row>
    <row r="219" spans="1:1" x14ac:dyDescent="0.25">
      <c r="A219" s="14"/>
    </row>
    <row r="220" spans="1:1" x14ac:dyDescent="0.25">
      <c r="A220" s="14"/>
    </row>
    <row r="221" spans="1:1" x14ac:dyDescent="0.25">
      <c r="A221" s="14"/>
    </row>
    <row r="222" spans="1:1" x14ac:dyDescent="0.25">
      <c r="A222" s="14"/>
    </row>
    <row r="223" spans="1:1" x14ac:dyDescent="0.25">
      <c r="A223" s="14"/>
    </row>
    <row r="224" spans="1:1" x14ac:dyDescent="0.25">
      <c r="A224" s="14"/>
    </row>
    <row r="225" spans="1:1" x14ac:dyDescent="0.25">
      <c r="A225" s="14"/>
    </row>
    <row r="226" spans="1:1" x14ac:dyDescent="0.25">
      <c r="A226" s="14"/>
    </row>
    <row r="227" spans="1:1" x14ac:dyDescent="0.25">
      <c r="A227" s="14"/>
    </row>
    <row r="228" spans="1:1" x14ac:dyDescent="0.25">
      <c r="A228" s="14"/>
    </row>
    <row r="229" spans="1:1" x14ac:dyDescent="0.25">
      <c r="A229" s="14"/>
    </row>
    <row r="230" spans="1:1" x14ac:dyDescent="0.25">
      <c r="A230" s="14"/>
    </row>
    <row r="231" spans="1:1" x14ac:dyDescent="0.25">
      <c r="A231" s="14"/>
    </row>
    <row r="232" spans="1:1" x14ac:dyDescent="0.25">
      <c r="A232" s="14"/>
    </row>
    <row r="233" spans="1:1" x14ac:dyDescent="0.25">
      <c r="A233" s="14"/>
    </row>
    <row r="234" spans="1:1" x14ac:dyDescent="0.25">
      <c r="A234" s="14"/>
    </row>
    <row r="235" spans="1:1" x14ac:dyDescent="0.25">
      <c r="A235" s="14"/>
    </row>
    <row r="236" spans="1:1" x14ac:dyDescent="0.25">
      <c r="A236" s="14"/>
    </row>
    <row r="237" spans="1:1" x14ac:dyDescent="0.25">
      <c r="A237" s="14"/>
    </row>
    <row r="238" spans="1:1" x14ac:dyDescent="0.25">
      <c r="A238" s="14"/>
    </row>
    <row r="239" spans="1:1" x14ac:dyDescent="0.25">
      <c r="A239" s="14"/>
    </row>
    <row r="240" spans="1:1" x14ac:dyDescent="0.25">
      <c r="A240" s="14"/>
    </row>
    <row r="241" spans="1:1" x14ac:dyDescent="0.25">
      <c r="A241" s="14"/>
    </row>
    <row r="242" spans="1:1" x14ac:dyDescent="0.25">
      <c r="A242" s="14"/>
    </row>
    <row r="243" spans="1:1" x14ac:dyDescent="0.25">
      <c r="A243" s="14"/>
    </row>
    <row r="244" spans="1:1" x14ac:dyDescent="0.25">
      <c r="A244" s="14"/>
    </row>
    <row r="245" spans="1:1" x14ac:dyDescent="0.25">
      <c r="A245" s="14"/>
    </row>
    <row r="246" spans="1:1" x14ac:dyDescent="0.25">
      <c r="A246" s="14"/>
    </row>
    <row r="247" spans="1:1" x14ac:dyDescent="0.25">
      <c r="A247" s="14"/>
    </row>
    <row r="248" spans="1:1" x14ac:dyDescent="0.25">
      <c r="A248" s="14"/>
    </row>
    <row r="249" spans="1:1" x14ac:dyDescent="0.25">
      <c r="A249" s="14"/>
    </row>
    <row r="250" spans="1:1" x14ac:dyDescent="0.25">
      <c r="A250" s="14"/>
    </row>
    <row r="251" spans="1:1" x14ac:dyDescent="0.25">
      <c r="A251" s="14"/>
    </row>
    <row r="252" spans="1:1" x14ac:dyDescent="0.25">
      <c r="A252" s="14"/>
    </row>
    <row r="253" spans="1:1" x14ac:dyDescent="0.25">
      <c r="A253" s="14"/>
    </row>
    <row r="254" spans="1:1" x14ac:dyDescent="0.25">
      <c r="A254" s="14"/>
    </row>
    <row r="255" spans="1:1" x14ac:dyDescent="0.25">
      <c r="A255" s="14"/>
    </row>
    <row r="256" spans="1:1" x14ac:dyDescent="0.25">
      <c r="A256" s="14"/>
    </row>
    <row r="257" spans="1:1" x14ac:dyDescent="0.25">
      <c r="A257" s="14"/>
    </row>
    <row r="258" spans="1:1" x14ac:dyDescent="0.25">
      <c r="A258" s="14"/>
    </row>
    <row r="259" spans="1:1" x14ac:dyDescent="0.25">
      <c r="A259" s="14"/>
    </row>
    <row r="260" spans="1:1" x14ac:dyDescent="0.25">
      <c r="A260" s="14"/>
    </row>
    <row r="261" spans="1:1" x14ac:dyDescent="0.25">
      <c r="A261" s="14"/>
    </row>
    <row r="262" spans="1:1" x14ac:dyDescent="0.25">
      <c r="A262" s="14"/>
    </row>
    <row r="263" spans="1:1" x14ac:dyDescent="0.25">
      <c r="A263" s="14"/>
    </row>
    <row r="264" spans="1:1" x14ac:dyDescent="0.25">
      <c r="A264" s="14"/>
    </row>
    <row r="265" spans="1:1" x14ac:dyDescent="0.25">
      <c r="A265" s="14"/>
    </row>
    <row r="266" spans="1:1" x14ac:dyDescent="0.25">
      <c r="A266" s="14"/>
    </row>
    <row r="267" spans="1:1" x14ac:dyDescent="0.25">
      <c r="A267" s="14"/>
    </row>
    <row r="268" spans="1:1" x14ac:dyDescent="0.25">
      <c r="A268" s="14"/>
    </row>
    <row r="269" spans="1:1" x14ac:dyDescent="0.25">
      <c r="A269" s="14"/>
    </row>
    <row r="270" spans="1:1" x14ac:dyDescent="0.25">
      <c r="A270" s="14"/>
    </row>
    <row r="271" spans="1:1" x14ac:dyDescent="0.25">
      <c r="A271" s="14"/>
    </row>
    <row r="272" spans="1:1" x14ac:dyDescent="0.25">
      <c r="A272" s="14"/>
    </row>
    <row r="273" spans="1:1" x14ac:dyDescent="0.25">
      <c r="A273" s="14"/>
    </row>
    <row r="274" spans="1:1" x14ac:dyDescent="0.25">
      <c r="A274" s="14"/>
    </row>
    <row r="275" spans="1:1" x14ac:dyDescent="0.25">
      <c r="A275" s="14"/>
    </row>
    <row r="276" spans="1:1" x14ac:dyDescent="0.25">
      <c r="A276" s="14"/>
    </row>
    <row r="277" spans="1:1" x14ac:dyDescent="0.25">
      <c r="A277" s="14"/>
    </row>
    <row r="278" spans="1:1" x14ac:dyDescent="0.25">
      <c r="A278" s="14"/>
    </row>
    <row r="279" spans="1:1" x14ac:dyDescent="0.25">
      <c r="A279" s="14"/>
    </row>
    <row r="280" spans="1:1" x14ac:dyDescent="0.25">
      <c r="A280" s="14"/>
    </row>
    <row r="281" spans="1:1" x14ac:dyDescent="0.25">
      <c r="A281" s="14"/>
    </row>
    <row r="282" spans="1:1" x14ac:dyDescent="0.25">
      <c r="A282" s="14"/>
    </row>
    <row r="283" spans="1:1" x14ac:dyDescent="0.25">
      <c r="A283" s="14"/>
    </row>
    <row r="284" spans="1:1" x14ac:dyDescent="0.25">
      <c r="A284" s="14"/>
    </row>
    <row r="285" spans="1:1" x14ac:dyDescent="0.25">
      <c r="A285" s="14"/>
    </row>
    <row r="286" spans="1:1" x14ac:dyDescent="0.25">
      <c r="A286" s="14"/>
    </row>
    <row r="287" spans="1:1" x14ac:dyDescent="0.25">
      <c r="A287" s="14"/>
    </row>
    <row r="288" spans="1:1" x14ac:dyDescent="0.25">
      <c r="A288" s="14"/>
    </row>
    <row r="289" spans="1:1" x14ac:dyDescent="0.25">
      <c r="A289" s="14"/>
    </row>
    <row r="290" spans="1:1" x14ac:dyDescent="0.25">
      <c r="A290" s="14"/>
    </row>
    <row r="291" spans="1:1" x14ac:dyDescent="0.25">
      <c r="A291" s="14"/>
    </row>
  </sheetData>
  <conditionalFormatting sqref="A5:A41">
    <cfRule type="duplicateValues" dxfId="85" priority="3"/>
  </conditionalFormatting>
  <conditionalFormatting sqref="A13:A41">
    <cfRule type="duplicateValues" dxfId="84" priority="4"/>
  </conditionalFormatting>
  <conditionalFormatting sqref="A42:A73">
    <cfRule type="duplicateValues" dxfId="83" priority="1"/>
    <cfRule type="duplicateValues" dxfId="82" priority="2"/>
  </conditionalFormatting>
  <conditionalFormatting sqref="A121:A199">
    <cfRule type="duplicateValues" dxfId="81" priority="32"/>
  </conditionalFormatting>
  <conditionalFormatting sqref="Q1">
    <cfRule type="duplicateValues" dxfId="78" priority="1314"/>
  </conditionalFormatting>
  <pageMargins left="0.7" right="0.7" top="0.75" bottom="0.75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W1"/>
  <sheetViews>
    <sheetView zoomScaleNormal="100" workbookViewId="0">
      <selection activeCell="K14" sqref="K14"/>
    </sheetView>
  </sheetViews>
  <sheetFormatPr defaultRowHeight="15" x14ac:dyDescent="0.25"/>
  <cols>
    <col min="1" max="1" width="25.85546875" customWidth="1"/>
    <col min="2" max="2" width="19" customWidth="1"/>
    <col min="3" max="3" width="19.85546875" customWidth="1"/>
    <col min="4" max="4" width="12.85546875" customWidth="1"/>
    <col min="5" max="5" width="48.85546875" customWidth="1"/>
    <col min="6" max="7" width="19" customWidth="1"/>
    <col min="8" max="23" width="11.5703125" customWidth="1"/>
  </cols>
  <sheetData>
    <row r="1" spans="1:23" x14ac:dyDescent="0.25">
      <c r="A1" t="s">
        <v>46</v>
      </c>
      <c r="B1" t="s">
        <v>80</v>
      </c>
      <c r="C1" t="s">
        <v>47</v>
      </c>
      <c r="D1" t="s">
        <v>81</v>
      </c>
      <c r="E1" t="s">
        <v>56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AG67"/>
  <sheetViews>
    <sheetView topLeftCell="A7" zoomScale="85" zoomScaleNormal="85" workbookViewId="0">
      <selection activeCell="J46" sqref="J46"/>
    </sheetView>
  </sheetViews>
  <sheetFormatPr defaultRowHeight="15" x14ac:dyDescent="0.25"/>
  <cols>
    <col min="1" max="1" width="41" customWidth="1"/>
    <col min="2" max="2" width="22.5703125" customWidth="1"/>
    <col min="3" max="3" width="13.5703125" customWidth="1"/>
    <col min="4" max="4" width="12.5703125" bestFit="1" customWidth="1"/>
    <col min="5" max="5" width="22.7109375" customWidth="1"/>
    <col min="6" max="6" width="19.5703125" customWidth="1"/>
    <col min="7" max="9" width="13.42578125" customWidth="1"/>
    <col min="10" max="10" width="24.85546875" customWidth="1"/>
    <col min="11" max="11" width="30.28515625" bestFit="1" customWidth="1"/>
    <col min="12" max="12" width="31.85546875" bestFit="1" customWidth="1"/>
    <col min="13" max="13" width="25" bestFit="1" customWidth="1"/>
    <col min="14" max="14" width="25.28515625" bestFit="1" customWidth="1"/>
    <col min="15" max="16" width="16.140625" customWidth="1"/>
    <col min="17" max="17" width="20.7109375" bestFit="1" customWidth="1"/>
    <col min="18" max="18" width="35.140625" bestFit="1" customWidth="1"/>
    <col min="19" max="19" width="8.5703125" bestFit="1" customWidth="1"/>
    <col min="20" max="22" width="16.42578125" customWidth="1"/>
    <col min="23" max="24" width="12.28515625" customWidth="1"/>
    <col min="25" max="29" width="6.42578125" customWidth="1"/>
    <col min="30" max="33" width="12.85546875" customWidth="1"/>
  </cols>
  <sheetData>
    <row r="1" spans="1:33" x14ac:dyDescent="0.25">
      <c r="A1" t="s">
        <v>46</v>
      </c>
      <c r="B1" t="s">
        <v>47</v>
      </c>
      <c r="C1" t="s">
        <v>100</v>
      </c>
      <c r="D1" t="s">
        <v>101</v>
      </c>
      <c r="E1" t="s">
        <v>55</v>
      </c>
      <c r="F1" t="s">
        <v>73</v>
      </c>
      <c r="G1" t="s">
        <v>102</v>
      </c>
      <c r="H1" t="s">
        <v>103</v>
      </c>
      <c r="I1" t="s">
        <v>104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90</v>
      </c>
      <c r="P1" t="s">
        <v>90</v>
      </c>
      <c r="Q1" t="s">
        <v>91</v>
      </c>
      <c r="R1" t="s">
        <v>92</v>
      </c>
      <c r="S1" t="s">
        <v>93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110</v>
      </c>
      <c r="AA1" t="s">
        <v>111</v>
      </c>
      <c r="AB1" t="s">
        <v>112</v>
      </c>
      <c r="AC1" t="s">
        <v>113</v>
      </c>
      <c r="AD1" t="s">
        <v>73</v>
      </c>
      <c r="AE1" t="s">
        <v>102</v>
      </c>
      <c r="AF1" t="s">
        <v>103</v>
      </c>
      <c r="AG1" t="s">
        <v>104</v>
      </c>
    </row>
    <row r="2" spans="1:33" x14ac:dyDescent="0.25">
      <c r="A2" t="s">
        <v>286</v>
      </c>
      <c r="C2" t="s">
        <v>81</v>
      </c>
      <c r="D2" t="s">
        <v>114</v>
      </c>
      <c r="E2" t="s">
        <v>70</v>
      </c>
      <c r="F2" t="s">
        <v>115</v>
      </c>
      <c r="G2" t="s">
        <v>116</v>
      </c>
      <c r="H2">
        <v>0</v>
      </c>
      <c r="I2" t="s">
        <v>117</v>
      </c>
      <c r="J2" t="s">
        <v>381</v>
      </c>
      <c r="K2" t="s">
        <v>190</v>
      </c>
      <c r="L2" t="s">
        <v>192</v>
      </c>
      <c r="M2" t="s">
        <v>191</v>
      </c>
      <c r="N2" s="14"/>
      <c r="O2" s="14"/>
      <c r="P2" s="14"/>
      <c r="Q2" s="14"/>
      <c r="R2" s="14"/>
      <c r="T2" t="s">
        <v>118</v>
      </c>
      <c r="U2" t="s">
        <v>119</v>
      </c>
      <c r="V2" t="s">
        <v>120</v>
      </c>
      <c r="W2" t="s">
        <v>259</v>
      </c>
      <c r="X2" t="s">
        <v>260</v>
      </c>
      <c r="Y2" t="s">
        <v>261</v>
      </c>
      <c r="Z2" t="s">
        <v>262</v>
      </c>
      <c r="AA2" t="s">
        <v>263</v>
      </c>
      <c r="AB2" t="s">
        <v>264</v>
      </c>
      <c r="AC2" t="s">
        <v>265</v>
      </c>
      <c r="AD2" t="s">
        <v>115</v>
      </c>
      <c r="AE2" t="s">
        <v>116</v>
      </c>
      <c r="AF2">
        <v>0</v>
      </c>
      <c r="AG2" t="s">
        <v>117</v>
      </c>
    </row>
    <row r="3" spans="1:33" x14ac:dyDescent="0.25">
      <c r="A3" t="s">
        <v>287</v>
      </c>
      <c r="C3" t="s">
        <v>121</v>
      </c>
      <c r="D3" t="s">
        <v>122</v>
      </c>
      <c r="E3" t="s">
        <v>70</v>
      </c>
      <c r="F3" t="s">
        <v>115</v>
      </c>
      <c r="G3" t="s">
        <v>116</v>
      </c>
      <c r="H3">
        <v>0</v>
      </c>
      <c r="I3" t="s">
        <v>117</v>
      </c>
      <c r="J3" t="s">
        <v>381</v>
      </c>
      <c r="K3" t="s">
        <v>190</v>
      </c>
      <c r="L3" t="s">
        <v>192</v>
      </c>
      <c r="M3" t="s">
        <v>191</v>
      </c>
      <c r="T3" t="s">
        <v>118</v>
      </c>
      <c r="U3" t="s">
        <v>119</v>
      </c>
      <c r="V3" t="s">
        <v>120</v>
      </c>
      <c r="W3" t="s">
        <v>259</v>
      </c>
      <c r="X3" t="s">
        <v>260</v>
      </c>
      <c r="Y3" t="s">
        <v>261</v>
      </c>
      <c r="Z3" t="s">
        <v>262</v>
      </c>
      <c r="AA3" t="s">
        <v>263</v>
      </c>
      <c r="AB3" t="s">
        <v>264</v>
      </c>
      <c r="AC3" t="s">
        <v>265</v>
      </c>
      <c r="AD3" t="s">
        <v>115</v>
      </c>
      <c r="AE3" t="s">
        <v>116</v>
      </c>
      <c r="AF3">
        <v>0</v>
      </c>
      <c r="AG3" t="s">
        <v>117</v>
      </c>
    </row>
    <row r="4" spans="1:33" x14ac:dyDescent="0.25">
      <c r="A4" t="s">
        <v>288</v>
      </c>
      <c r="C4" t="s">
        <v>81</v>
      </c>
      <c r="D4" t="s">
        <v>114</v>
      </c>
      <c r="E4" t="s">
        <v>70</v>
      </c>
      <c r="F4" t="s">
        <v>115</v>
      </c>
      <c r="G4" t="s">
        <v>116</v>
      </c>
      <c r="H4">
        <v>0</v>
      </c>
      <c r="I4" t="s">
        <v>117</v>
      </c>
      <c r="J4" t="s">
        <v>194</v>
      </c>
      <c r="K4" t="s">
        <v>193</v>
      </c>
      <c r="L4" t="s">
        <v>196</v>
      </c>
      <c r="M4" t="s">
        <v>195</v>
      </c>
      <c r="N4" s="14"/>
      <c r="O4" s="14"/>
      <c r="P4" s="14"/>
      <c r="Q4" s="14"/>
      <c r="R4" s="14"/>
      <c r="T4" t="s">
        <v>118</v>
      </c>
      <c r="U4" t="s">
        <v>119</v>
      </c>
      <c r="V4" t="s">
        <v>120</v>
      </c>
      <c r="W4" t="s">
        <v>259</v>
      </c>
      <c r="X4" t="s">
        <v>260</v>
      </c>
      <c r="Y4" t="s">
        <v>261</v>
      </c>
      <c r="Z4" t="s">
        <v>262</v>
      </c>
      <c r="AA4" t="s">
        <v>263</v>
      </c>
      <c r="AB4" t="s">
        <v>264</v>
      </c>
      <c r="AC4" t="s">
        <v>265</v>
      </c>
      <c r="AD4" t="s">
        <v>115</v>
      </c>
      <c r="AE4" t="s">
        <v>116</v>
      </c>
      <c r="AF4">
        <v>0</v>
      </c>
      <c r="AG4" t="s">
        <v>117</v>
      </c>
    </row>
    <row r="5" spans="1:33" x14ac:dyDescent="0.25">
      <c r="A5" t="s">
        <v>289</v>
      </c>
      <c r="C5" t="s">
        <v>121</v>
      </c>
      <c r="D5" t="s">
        <v>122</v>
      </c>
      <c r="E5" t="s">
        <v>70</v>
      </c>
      <c r="F5" t="s">
        <v>115</v>
      </c>
      <c r="G5" t="s">
        <v>116</v>
      </c>
      <c r="H5">
        <v>0</v>
      </c>
      <c r="I5" t="s">
        <v>117</v>
      </c>
      <c r="J5" t="s">
        <v>194</v>
      </c>
      <c r="K5" t="s">
        <v>193</v>
      </c>
      <c r="L5" t="s">
        <v>196</v>
      </c>
      <c r="M5" t="s">
        <v>195</v>
      </c>
      <c r="N5" s="14"/>
      <c r="O5" s="14"/>
      <c r="T5" t="s">
        <v>118</v>
      </c>
      <c r="U5" t="s">
        <v>119</v>
      </c>
      <c r="V5" t="s">
        <v>120</v>
      </c>
      <c r="W5" t="s">
        <v>259</v>
      </c>
      <c r="X5" t="s">
        <v>260</v>
      </c>
      <c r="Y5" t="s">
        <v>261</v>
      </c>
      <c r="Z5" t="s">
        <v>262</v>
      </c>
      <c r="AA5" t="s">
        <v>263</v>
      </c>
      <c r="AB5" t="s">
        <v>264</v>
      </c>
      <c r="AC5" t="s">
        <v>265</v>
      </c>
      <c r="AD5" t="s">
        <v>115</v>
      </c>
      <c r="AE5" t="s">
        <v>116</v>
      </c>
      <c r="AF5">
        <v>0</v>
      </c>
      <c r="AG5" t="s">
        <v>117</v>
      </c>
    </row>
    <row r="6" spans="1:33" x14ac:dyDescent="0.25">
      <c r="A6" t="s">
        <v>290</v>
      </c>
      <c r="C6" t="s">
        <v>81</v>
      </c>
      <c r="D6" t="s">
        <v>114</v>
      </c>
      <c r="E6" t="s">
        <v>70</v>
      </c>
      <c r="F6" t="s">
        <v>115</v>
      </c>
      <c r="G6" t="s">
        <v>116</v>
      </c>
      <c r="H6">
        <v>0</v>
      </c>
      <c r="I6" t="s">
        <v>117</v>
      </c>
      <c r="J6" t="s">
        <v>198</v>
      </c>
      <c r="K6" t="s">
        <v>197</v>
      </c>
      <c r="L6" t="s">
        <v>200</v>
      </c>
      <c r="M6" t="s">
        <v>199</v>
      </c>
      <c r="N6" t="s">
        <v>201</v>
      </c>
      <c r="O6" s="14"/>
      <c r="P6" s="14"/>
      <c r="Q6" s="14"/>
      <c r="R6" s="14"/>
      <c r="T6" t="s">
        <v>118</v>
      </c>
      <c r="U6" t="s">
        <v>119</v>
      </c>
      <c r="V6" t="s">
        <v>120</v>
      </c>
      <c r="W6" t="s">
        <v>259</v>
      </c>
      <c r="X6" t="s">
        <v>260</v>
      </c>
      <c r="Y6" t="s">
        <v>261</v>
      </c>
      <c r="Z6" t="s">
        <v>262</v>
      </c>
      <c r="AA6" t="s">
        <v>263</v>
      </c>
      <c r="AB6" t="s">
        <v>264</v>
      </c>
      <c r="AC6" t="s">
        <v>265</v>
      </c>
      <c r="AD6" t="s">
        <v>115</v>
      </c>
      <c r="AE6" t="s">
        <v>116</v>
      </c>
      <c r="AF6">
        <v>0</v>
      </c>
      <c r="AG6" t="s">
        <v>117</v>
      </c>
    </row>
    <row r="7" spans="1:33" x14ac:dyDescent="0.25">
      <c r="A7" t="s">
        <v>291</v>
      </c>
      <c r="C7" t="s">
        <v>121</v>
      </c>
      <c r="D7" t="s">
        <v>122</v>
      </c>
      <c r="E7" t="s">
        <v>70</v>
      </c>
      <c r="F7" t="s">
        <v>115</v>
      </c>
      <c r="G7" t="s">
        <v>116</v>
      </c>
      <c r="H7">
        <v>0</v>
      </c>
      <c r="I7" t="s">
        <v>117</v>
      </c>
      <c r="J7" t="s">
        <v>198</v>
      </c>
      <c r="K7" t="s">
        <v>197</v>
      </c>
      <c r="L7" t="s">
        <v>200</v>
      </c>
      <c r="M7" t="s">
        <v>199</v>
      </c>
      <c r="N7" t="s">
        <v>201</v>
      </c>
      <c r="O7" s="14"/>
      <c r="P7" s="14"/>
      <c r="Q7" s="14"/>
      <c r="T7" t="s">
        <v>118</v>
      </c>
      <c r="U7" t="s">
        <v>119</v>
      </c>
      <c r="V7" t="s">
        <v>120</v>
      </c>
      <c r="W7" t="s">
        <v>259</v>
      </c>
      <c r="X7" t="s">
        <v>260</v>
      </c>
      <c r="Y7" t="s">
        <v>261</v>
      </c>
      <c r="Z7" t="s">
        <v>262</v>
      </c>
      <c r="AA7" t="s">
        <v>263</v>
      </c>
      <c r="AB7" t="s">
        <v>264</v>
      </c>
      <c r="AC7" t="s">
        <v>265</v>
      </c>
      <c r="AD7" t="s">
        <v>115</v>
      </c>
      <c r="AE7" t="s">
        <v>116</v>
      </c>
      <c r="AF7">
        <v>0</v>
      </c>
      <c r="AG7" t="s">
        <v>117</v>
      </c>
    </row>
    <row r="8" spans="1:33" x14ac:dyDescent="0.25">
      <c r="A8" t="s">
        <v>292</v>
      </c>
      <c r="C8" t="s">
        <v>81</v>
      </c>
      <c r="D8" t="s">
        <v>114</v>
      </c>
      <c r="E8" t="s">
        <v>70</v>
      </c>
      <c r="F8" t="s">
        <v>115</v>
      </c>
      <c r="G8" t="s">
        <v>116</v>
      </c>
      <c r="H8">
        <v>0</v>
      </c>
      <c r="I8" t="s">
        <v>117</v>
      </c>
      <c r="J8" t="s">
        <v>203</v>
      </c>
      <c r="K8" t="s">
        <v>202</v>
      </c>
      <c r="L8" t="s">
        <v>205</v>
      </c>
      <c r="M8" t="s">
        <v>204</v>
      </c>
      <c r="N8" s="14"/>
      <c r="O8" s="14"/>
      <c r="P8" s="14"/>
      <c r="Q8" s="14"/>
      <c r="R8" s="14"/>
      <c r="T8" t="s">
        <v>118</v>
      </c>
      <c r="U8" t="s">
        <v>119</v>
      </c>
      <c r="V8" t="s">
        <v>120</v>
      </c>
      <c r="W8" t="s">
        <v>259</v>
      </c>
      <c r="X8" t="s">
        <v>260</v>
      </c>
      <c r="Y8" t="s">
        <v>261</v>
      </c>
      <c r="Z8" t="s">
        <v>262</v>
      </c>
      <c r="AA8" t="s">
        <v>263</v>
      </c>
      <c r="AB8" t="s">
        <v>264</v>
      </c>
      <c r="AC8" t="s">
        <v>265</v>
      </c>
      <c r="AD8" t="s">
        <v>115</v>
      </c>
      <c r="AE8" t="s">
        <v>116</v>
      </c>
      <c r="AF8">
        <v>0</v>
      </c>
      <c r="AG8" t="s">
        <v>117</v>
      </c>
    </row>
    <row r="9" spans="1:33" x14ac:dyDescent="0.25">
      <c r="A9" t="s">
        <v>293</v>
      </c>
      <c r="C9" t="s">
        <v>121</v>
      </c>
      <c r="D9" t="s">
        <v>122</v>
      </c>
      <c r="E9" t="s">
        <v>70</v>
      </c>
      <c r="F9" t="s">
        <v>115</v>
      </c>
      <c r="G9" t="s">
        <v>116</v>
      </c>
      <c r="H9">
        <v>0</v>
      </c>
      <c r="I9" t="s">
        <v>117</v>
      </c>
      <c r="J9" t="s">
        <v>203</v>
      </c>
      <c r="K9" t="s">
        <v>202</v>
      </c>
      <c r="L9" t="s">
        <v>205</v>
      </c>
      <c r="M9" t="s">
        <v>204</v>
      </c>
      <c r="N9" s="14"/>
      <c r="O9" s="14"/>
      <c r="T9" t="s">
        <v>118</v>
      </c>
      <c r="U9" t="s">
        <v>119</v>
      </c>
      <c r="V9" t="s">
        <v>120</v>
      </c>
      <c r="W9" t="s">
        <v>259</v>
      </c>
      <c r="X9" t="s">
        <v>260</v>
      </c>
      <c r="Y9" t="s">
        <v>261</v>
      </c>
      <c r="Z9" t="s">
        <v>262</v>
      </c>
      <c r="AA9" t="s">
        <v>263</v>
      </c>
      <c r="AB9" t="s">
        <v>264</v>
      </c>
      <c r="AC9" t="s">
        <v>265</v>
      </c>
      <c r="AD9" t="s">
        <v>115</v>
      </c>
      <c r="AE9" t="s">
        <v>116</v>
      </c>
      <c r="AF9">
        <v>0</v>
      </c>
      <c r="AG9" t="s">
        <v>117</v>
      </c>
    </row>
    <row r="10" spans="1:33" x14ac:dyDescent="0.25">
      <c r="A10" t="s">
        <v>294</v>
      </c>
      <c r="C10" t="s">
        <v>81</v>
      </c>
      <c r="D10" t="s">
        <v>114</v>
      </c>
      <c r="E10" t="s">
        <v>70</v>
      </c>
      <c r="F10" t="s">
        <v>115</v>
      </c>
      <c r="G10" t="s">
        <v>116</v>
      </c>
      <c r="H10">
        <v>0</v>
      </c>
      <c r="I10" t="s">
        <v>117</v>
      </c>
      <c r="J10" t="s">
        <v>207</v>
      </c>
      <c r="K10" t="s">
        <v>206</v>
      </c>
      <c r="L10" t="s">
        <v>209</v>
      </c>
      <c r="M10" t="s">
        <v>208</v>
      </c>
      <c r="N10" s="14"/>
      <c r="O10" s="14"/>
      <c r="P10" s="14"/>
      <c r="Q10" s="14"/>
      <c r="R10" s="14"/>
      <c r="T10" t="s">
        <v>118</v>
      </c>
      <c r="U10" t="s">
        <v>119</v>
      </c>
      <c r="V10" t="s">
        <v>120</v>
      </c>
      <c r="W10" t="s">
        <v>259</v>
      </c>
      <c r="X10" t="s">
        <v>260</v>
      </c>
      <c r="Y10" t="s">
        <v>261</v>
      </c>
      <c r="Z10" t="s">
        <v>262</v>
      </c>
      <c r="AA10" t="s">
        <v>263</v>
      </c>
      <c r="AB10" t="s">
        <v>264</v>
      </c>
      <c r="AC10" t="s">
        <v>265</v>
      </c>
      <c r="AD10" t="s">
        <v>115</v>
      </c>
      <c r="AE10" t="s">
        <v>116</v>
      </c>
      <c r="AF10">
        <v>0</v>
      </c>
      <c r="AG10" t="s">
        <v>117</v>
      </c>
    </row>
    <row r="11" spans="1:33" x14ac:dyDescent="0.25">
      <c r="A11" t="s">
        <v>295</v>
      </c>
      <c r="C11" t="s">
        <v>121</v>
      </c>
      <c r="D11" t="s">
        <v>122</v>
      </c>
      <c r="E11" t="s">
        <v>70</v>
      </c>
      <c r="F11" t="s">
        <v>115</v>
      </c>
      <c r="G11" t="s">
        <v>116</v>
      </c>
      <c r="H11">
        <v>0</v>
      </c>
      <c r="I11" t="s">
        <v>117</v>
      </c>
      <c r="J11" t="s">
        <v>207</v>
      </c>
      <c r="K11" t="s">
        <v>206</v>
      </c>
      <c r="L11" t="s">
        <v>209</v>
      </c>
      <c r="M11" t="s">
        <v>208</v>
      </c>
      <c r="N11" s="14"/>
      <c r="T11" t="s">
        <v>118</v>
      </c>
      <c r="U11" t="s">
        <v>119</v>
      </c>
      <c r="V11" t="s">
        <v>120</v>
      </c>
      <c r="W11" t="s">
        <v>259</v>
      </c>
      <c r="X11" t="s">
        <v>260</v>
      </c>
      <c r="Y11" t="s">
        <v>261</v>
      </c>
      <c r="Z11" t="s">
        <v>262</v>
      </c>
      <c r="AA11" t="s">
        <v>263</v>
      </c>
      <c r="AB11" t="s">
        <v>264</v>
      </c>
      <c r="AC11" t="s">
        <v>265</v>
      </c>
      <c r="AD11" t="s">
        <v>115</v>
      </c>
      <c r="AE11" t="s">
        <v>116</v>
      </c>
      <c r="AF11">
        <v>0</v>
      </c>
      <c r="AG11" t="s">
        <v>117</v>
      </c>
    </row>
    <row r="12" spans="1:33" x14ac:dyDescent="0.25">
      <c r="A12" t="s">
        <v>296</v>
      </c>
      <c r="C12" t="s">
        <v>81</v>
      </c>
      <c r="D12" t="s">
        <v>114</v>
      </c>
      <c r="E12" t="s">
        <v>70</v>
      </c>
      <c r="F12" t="s">
        <v>115</v>
      </c>
      <c r="G12" t="s">
        <v>116</v>
      </c>
      <c r="H12">
        <v>0</v>
      </c>
      <c r="I12" t="s">
        <v>117</v>
      </c>
      <c r="J12" t="s">
        <v>211</v>
      </c>
      <c r="K12" t="s">
        <v>210</v>
      </c>
      <c r="L12" t="s">
        <v>213</v>
      </c>
      <c r="M12" t="s">
        <v>212</v>
      </c>
      <c r="N12" s="14"/>
      <c r="O12" s="14"/>
      <c r="P12" s="14"/>
      <c r="Q12" s="14"/>
      <c r="R12" s="14"/>
      <c r="T12" t="s">
        <v>118</v>
      </c>
      <c r="U12" t="s">
        <v>119</v>
      </c>
      <c r="V12" t="s">
        <v>120</v>
      </c>
      <c r="W12" t="s">
        <v>259</v>
      </c>
      <c r="X12" t="s">
        <v>260</v>
      </c>
      <c r="Y12" t="s">
        <v>261</v>
      </c>
      <c r="Z12" t="s">
        <v>262</v>
      </c>
      <c r="AA12" t="s">
        <v>263</v>
      </c>
      <c r="AB12" t="s">
        <v>264</v>
      </c>
      <c r="AC12" t="s">
        <v>265</v>
      </c>
      <c r="AD12" t="s">
        <v>115</v>
      </c>
      <c r="AE12" t="s">
        <v>116</v>
      </c>
      <c r="AF12">
        <v>0</v>
      </c>
      <c r="AG12" t="s">
        <v>117</v>
      </c>
    </row>
    <row r="13" spans="1:33" x14ac:dyDescent="0.25">
      <c r="A13" t="s">
        <v>297</v>
      </c>
      <c r="C13" t="s">
        <v>121</v>
      </c>
      <c r="D13" t="s">
        <v>122</v>
      </c>
      <c r="E13" t="s">
        <v>70</v>
      </c>
      <c r="F13" t="s">
        <v>115</v>
      </c>
      <c r="G13" t="s">
        <v>116</v>
      </c>
      <c r="H13">
        <v>0</v>
      </c>
      <c r="I13" t="s">
        <v>117</v>
      </c>
      <c r="J13" t="s">
        <v>211</v>
      </c>
      <c r="K13" t="s">
        <v>210</v>
      </c>
      <c r="L13" t="s">
        <v>213</v>
      </c>
      <c r="M13" t="s">
        <v>212</v>
      </c>
      <c r="N13" s="14"/>
      <c r="T13" t="s">
        <v>118</v>
      </c>
      <c r="U13" t="s">
        <v>119</v>
      </c>
      <c r="V13" t="s">
        <v>120</v>
      </c>
      <c r="W13" t="s">
        <v>259</v>
      </c>
      <c r="X13" t="s">
        <v>260</v>
      </c>
      <c r="Y13" t="s">
        <v>261</v>
      </c>
      <c r="Z13" t="s">
        <v>262</v>
      </c>
      <c r="AA13" t="s">
        <v>263</v>
      </c>
      <c r="AB13" t="s">
        <v>264</v>
      </c>
      <c r="AC13" t="s">
        <v>265</v>
      </c>
      <c r="AD13" t="s">
        <v>115</v>
      </c>
      <c r="AE13" t="s">
        <v>116</v>
      </c>
      <c r="AF13">
        <v>0</v>
      </c>
      <c r="AG13" t="s">
        <v>117</v>
      </c>
    </row>
    <row r="14" spans="1:33" x14ac:dyDescent="0.25">
      <c r="A14" t="s">
        <v>298</v>
      </c>
      <c r="C14" t="s">
        <v>81</v>
      </c>
      <c r="D14" t="s">
        <v>114</v>
      </c>
      <c r="E14" t="s">
        <v>70</v>
      </c>
      <c r="F14" t="s">
        <v>115</v>
      </c>
      <c r="G14" t="s">
        <v>116</v>
      </c>
      <c r="H14">
        <v>0</v>
      </c>
      <c r="I14" t="s">
        <v>117</v>
      </c>
      <c r="J14" t="s">
        <v>215</v>
      </c>
      <c r="K14" t="s">
        <v>214</v>
      </c>
      <c r="L14" t="s">
        <v>217</v>
      </c>
      <c r="M14" t="s">
        <v>216</v>
      </c>
      <c r="N14" s="14"/>
      <c r="O14" s="14"/>
      <c r="P14" s="14"/>
      <c r="Q14" s="14"/>
      <c r="R14" s="14"/>
      <c r="T14" t="s">
        <v>118</v>
      </c>
      <c r="U14" t="s">
        <v>119</v>
      </c>
      <c r="V14" t="s">
        <v>120</v>
      </c>
      <c r="W14" t="s">
        <v>259</v>
      </c>
      <c r="X14" t="s">
        <v>260</v>
      </c>
      <c r="Y14" t="s">
        <v>261</v>
      </c>
      <c r="Z14" t="s">
        <v>262</v>
      </c>
      <c r="AA14" t="s">
        <v>263</v>
      </c>
      <c r="AB14" t="s">
        <v>264</v>
      </c>
      <c r="AC14" t="s">
        <v>265</v>
      </c>
      <c r="AD14" t="s">
        <v>115</v>
      </c>
      <c r="AE14" t="s">
        <v>116</v>
      </c>
      <c r="AF14">
        <v>0</v>
      </c>
      <c r="AG14" t="s">
        <v>117</v>
      </c>
    </row>
    <row r="15" spans="1:33" x14ac:dyDescent="0.25">
      <c r="A15" t="s">
        <v>299</v>
      </c>
      <c r="C15" t="s">
        <v>121</v>
      </c>
      <c r="D15" t="s">
        <v>122</v>
      </c>
      <c r="E15" t="s">
        <v>70</v>
      </c>
      <c r="F15" t="s">
        <v>115</v>
      </c>
      <c r="G15" t="s">
        <v>116</v>
      </c>
      <c r="H15">
        <v>0</v>
      </c>
      <c r="I15" t="s">
        <v>117</v>
      </c>
      <c r="J15" t="s">
        <v>215</v>
      </c>
      <c r="K15" t="s">
        <v>214</v>
      </c>
      <c r="L15" t="s">
        <v>217</v>
      </c>
      <c r="M15" t="s">
        <v>216</v>
      </c>
      <c r="N15" s="14"/>
      <c r="O15" s="14"/>
      <c r="T15" t="s">
        <v>118</v>
      </c>
      <c r="U15" t="s">
        <v>119</v>
      </c>
      <c r="V15" t="s">
        <v>120</v>
      </c>
      <c r="W15" t="s">
        <v>259</v>
      </c>
      <c r="X15" t="s">
        <v>260</v>
      </c>
      <c r="Y15" t="s">
        <v>261</v>
      </c>
      <c r="Z15" t="s">
        <v>262</v>
      </c>
      <c r="AA15" t="s">
        <v>263</v>
      </c>
      <c r="AB15" t="s">
        <v>264</v>
      </c>
      <c r="AC15" t="s">
        <v>265</v>
      </c>
      <c r="AD15" t="s">
        <v>115</v>
      </c>
      <c r="AE15" t="s">
        <v>116</v>
      </c>
      <c r="AF15">
        <v>0</v>
      </c>
      <c r="AG15" t="s">
        <v>117</v>
      </c>
    </row>
    <row r="16" spans="1:33" x14ac:dyDescent="0.25">
      <c r="A16" t="s">
        <v>300</v>
      </c>
      <c r="C16" t="s">
        <v>81</v>
      </c>
      <c r="D16" t="s">
        <v>114</v>
      </c>
      <c r="E16" t="s">
        <v>70</v>
      </c>
      <c r="F16" t="s">
        <v>115</v>
      </c>
      <c r="G16" t="s">
        <v>116</v>
      </c>
      <c r="H16">
        <v>0</v>
      </c>
      <c r="I16" t="s">
        <v>117</v>
      </c>
      <c r="J16" t="s">
        <v>219</v>
      </c>
      <c r="K16" t="s">
        <v>218</v>
      </c>
      <c r="L16" t="s">
        <v>221</v>
      </c>
      <c r="M16" t="s">
        <v>220</v>
      </c>
      <c r="N16" s="14"/>
      <c r="O16" s="14"/>
      <c r="P16" s="14"/>
      <c r="Q16" s="14"/>
      <c r="R16" s="14"/>
      <c r="T16" t="s">
        <v>118</v>
      </c>
      <c r="U16" t="s">
        <v>119</v>
      </c>
      <c r="V16" t="s">
        <v>120</v>
      </c>
      <c r="W16" t="s">
        <v>259</v>
      </c>
      <c r="X16" t="s">
        <v>260</v>
      </c>
      <c r="Y16" t="s">
        <v>261</v>
      </c>
      <c r="Z16" t="s">
        <v>262</v>
      </c>
      <c r="AA16" t="s">
        <v>263</v>
      </c>
      <c r="AB16" t="s">
        <v>264</v>
      </c>
      <c r="AC16" t="s">
        <v>265</v>
      </c>
      <c r="AD16" t="s">
        <v>115</v>
      </c>
      <c r="AE16" t="s">
        <v>116</v>
      </c>
      <c r="AF16">
        <v>0</v>
      </c>
      <c r="AG16" t="s">
        <v>117</v>
      </c>
    </row>
    <row r="17" spans="1:33" x14ac:dyDescent="0.25">
      <c r="A17" t="s">
        <v>301</v>
      </c>
      <c r="C17" t="s">
        <v>121</v>
      </c>
      <c r="D17" t="s">
        <v>122</v>
      </c>
      <c r="E17" t="s">
        <v>70</v>
      </c>
      <c r="F17" t="s">
        <v>115</v>
      </c>
      <c r="G17" t="s">
        <v>116</v>
      </c>
      <c r="H17">
        <v>0</v>
      </c>
      <c r="I17" t="s">
        <v>117</v>
      </c>
      <c r="J17" t="s">
        <v>219</v>
      </c>
      <c r="K17" t="s">
        <v>218</v>
      </c>
      <c r="L17" t="s">
        <v>221</v>
      </c>
      <c r="M17" t="s">
        <v>220</v>
      </c>
      <c r="N17" s="14"/>
      <c r="T17" t="s">
        <v>118</v>
      </c>
      <c r="U17" t="s">
        <v>119</v>
      </c>
      <c r="V17" t="s">
        <v>120</v>
      </c>
      <c r="W17" t="s">
        <v>259</v>
      </c>
      <c r="X17" t="s">
        <v>260</v>
      </c>
      <c r="Y17" t="s">
        <v>261</v>
      </c>
      <c r="Z17" t="s">
        <v>262</v>
      </c>
      <c r="AA17" t="s">
        <v>263</v>
      </c>
      <c r="AB17" t="s">
        <v>264</v>
      </c>
      <c r="AC17" t="s">
        <v>265</v>
      </c>
      <c r="AD17" t="s">
        <v>115</v>
      </c>
      <c r="AE17" t="s">
        <v>116</v>
      </c>
      <c r="AF17">
        <v>0</v>
      </c>
      <c r="AG17" t="s">
        <v>117</v>
      </c>
    </row>
    <row r="18" spans="1:33" x14ac:dyDescent="0.25">
      <c r="A18" t="s">
        <v>302</v>
      </c>
      <c r="C18" t="s">
        <v>81</v>
      </c>
      <c r="D18" t="s">
        <v>114</v>
      </c>
      <c r="E18" t="s">
        <v>70</v>
      </c>
      <c r="F18" t="s">
        <v>115</v>
      </c>
      <c r="G18" t="s">
        <v>116</v>
      </c>
      <c r="H18">
        <v>0</v>
      </c>
      <c r="I18" t="s">
        <v>117</v>
      </c>
      <c r="J18" t="s">
        <v>223</v>
      </c>
      <c r="K18" t="s">
        <v>222</v>
      </c>
      <c r="L18" t="s">
        <v>225</v>
      </c>
      <c r="M18" t="s">
        <v>224</v>
      </c>
      <c r="N18" s="14"/>
      <c r="O18" s="14"/>
      <c r="P18" s="14"/>
      <c r="Q18" s="14"/>
      <c r="R18" s="14"/>
      <c r="T18" t="s">
        <v>118</v>
      </c>
      <c r="U18" t="s">
        <v>119</v>
      </c>
      <c r="V18" t="s">
        <v>120</v>
      </c>
      <c r="W18" t="s">
        <v>259</v>
      </c>
      <c r="X18" t="s">
        <v>260</v>
      </c>
      <c r="Y18" t="s">
        <v>261</v>
      </c>
      <c r="Z18" t="s">
        <v>262</v>
      </c>
      <c r="AA18" t="s">
        <v>263</v>
      </c>
      <c r="AB18" t="s">
        <v>264</v>
      </c>
      <c r="AC18" t="s">
        <v>265</v>
      </c>
      <c r="AD18" t="s">
        <v>115</v>
      </c>
      <c r="AE18" t="s">
        <v>116</v>
      </c>
      <c r="AF18">
        <v>0</v>
      </c>
      <c r="AG18" t="s">
        <v>117</v>
      </c>
    </row>
    <row r="19" spans="1:33" x14ac:dyDescent="0.25">
      <c r="A19" t="s">
        <v>303</v>
      </c>
      <c r="C19" t="s">
        <v>121</v>
      </c>
      <c r="D19" t="s">
        <v>122</v>
      </c>
      <c r="E19" t="s">
        <v>70</v>
      </c>
      <c r="F19" t="s">
        <v>115</v>
      </c>
      <c r="G19" t="s">
        <v>116</v>
      </c>
      <c r="H19">
        <v>0</v>
      </c>
      <c r="I19" t="s">
        <v>117</v>
      </c>
      <c r="J19" t="s">
        <v>223</v>
      </c>
      <c r="K19" t="s">
        <v>222</v>
      </c>
      <c r="L19" t="s">
        <v>225</v>
      </c>
      <c r="M19" t="s">
        <v>224</v>
      </c>
      <c r="N19" s="14"/>
      <c r="T19" t="s">
        <v>118</v>
      </c>
      <c r="U19" t="s">
        <v>119</v>
      </c>
      <c r="V19" t="s">
        <v>120</v>
      </c>
      <c r="W19" t="s">
        <v>259</v>
      </c>
      <c r="X19" t="s">
        <v>260</v>
      </c>
      <c r="Y19" t="s">
        <v>261</v>
      </c>
      <c r="Z19" t="s">
        <v>262</v>
      </c>
      <c r="AA19" t="s">
        <v>263</v>
      </c>
      <c r="AB19" t="s">
        <v>264</v>
      </c>
      <c r="AC19" t="s">
        <v>265</v>
      </c>
      <c r="AD19" t="s">
        <v>115</v>
      </c>
      <c r="AE19" t="s">
        <v>116</v>
      </c>
      <c r="AF19">
        <v>0</v>
      </c>
      <c r="AG19" t="s">
        <v>117</v>
      </c>
    </row>
    <row r="20" spans="1:33" x14ac:dyDescent="0.25">
      <c r="A20" t="s">
        <v>304</v>
      </c>
      <c r="C20" t="s">
        <v>81</v>
      </c>
      <c r="D20" t="s">
        <v>114</v>
      </c>
      <c r="E20" t="s">
        <v>70</v>
      </c>
      <c r="F20" t="s">
        <v>115</v>
      </c>
      <c r="G20" t="s">
        <v>116</v>
      </c>
      <c r="H20">
        <v>0</v>
      </c>
      <c r="I20" t="s">
        <v>117</v>
      </c>
      <c r="J20" t="s">
        <v>334</v>
      </c>
      <c r="K20" t="s">
        <v>339</v>
      </c>
      <c r="L20" t="s">
        <v>358</v>
      </c>
      <c r="M20" t="s">
        <v>367</v>
      </c>
      <c r="N20" s="14"/>
      <c r="O20" s="14"/>
      <c r="P20" s="14"/>
      <c r="Q20" s="14"/>
      <c r="R20" s="14"/>
      <c r="T20" t="s">
        <v>118</v>
      </c>
      <c r="U20" t="s">
        <v>119</v>
      </c>
      <c r="V20" t="s">
        <v>120</v>
      </c>
      <c r="W20" t="s">
        <v>259</v>
      </c>
      <c r="X20" t="s">
        <v>260</v>
      </c>
      <c r="Y20" t="s">
        <v>261</v>
      </c>
      <c r="Z20" t="s">
        <v>262</v>
      </c>
      <c r="AA20" t="s">
        <v>263</v>
      </c>
      <c r="AB20" t="s">
        <v>264</v>
      </c>
      <c r="AC20" t="s">
        <v>265</v>
      </c>
      <c r="AD20" t="s">
        <v>115</v>
      </c>
      <c r="AE20" t="s">
        <v>116</v>
      </c>
      <c r="AF20">
        <v>0</v>
      </c>
      <c r="AG20" t="s">
        <v>117</v>
      </c>
    </row>
    <row r="21" spans="1:33" x14ac:dyDescent="0.25">
      <c r="A21" t="s">
        <v>305</v>
      </c>
      <c r="C21" t="s">
        <v>121</v>
      </c>
      <c r="D21" t="s">
        <v>122</v>
      </c>
      <c r="E21" t="s">
        <v>70</v>
      </c>
      <c r="F21" t="s">
        <v>115</v>
      </c>
      <c r="G21" t="s">
        <v>116</v>
      </c>
      <c r="H21">
        <v>0</v>
      </c>
      <c r="I21" t="s">
        <v>117</v>
      </c>
      <c r="J21" t="s">
        <v>334</v>
      </c>
      <c r="K21" t="s">
        <v>339</v>
      </c>
      <c r="L21" t="s">
        <v>358</v>
      </c>
      <c r="M21" t="s">
        <v>367</v>
      </c>
      <c r="N21" s="14"/>
      <c r="T21" t="s">
        <v>118</v>
      </c>
      <c r="U21" t="s">
        <v>119</v>
      </c>
      <c r="V21" t="s">
        <v>120</v>
      </c>
      <c r="W21" t="s">
        <v>259</v>
      </c>
      <c r="X21" t="s">
        <v>260</v>
      </c>
      <c r="Y21" t="s">
        <v>261</v>
      </c>
      <c r="Z21" t="s">
        <v>262</v>
      </c>
      <c r="AA21" t="s">
        <v>263</v>
      </c>
      <c r="AB21" t="s">
        <v>264</v>
      </c>
      <c r="AC21" t="s">
        <v>265</v>
      </c>
      <c r="AD21" t="s">
        <v>115</v>
      </c>
      <c r="AE21" t="s">
        <v>116</v>
      </c>
      <c r="AF21">
        <v>0</v>
      </c>
      <c r="AG21" t="s">
        <v>117</v>
      </c>
    </row>
    <row r="22" spans="1:33" x14ac:dyDescent="0.25">
      <c r="A22" t="s">
        <v>306</v>
      </c>
      <c r="C22" t="s">
        <v>81</v>
      </c>
      <c r="D22" t="s">
        <v>114</v>
      </c>
      <c r="E22" t="s">
        <v>70</v>
      </c>
      <c r="F22" t="s">
        <v>115</v>
      </c>
      <c r="G22" t="s">
        <v>116</v>
      </c>
      <c r="H22">
        <v>0</v>
      </c>
      <c r="I22" t="s">
        <v>117</v>
      </c>
      <c r="J22" t="s">
        <v>351</v>
      </c>
      <c r="K22" t="s">
        <v>350</v>
      </c>
      <c r="L22" t="s">
        <v>359</v>
      </c>
      <c r="M22" t="s">
        <v>368</v>
      </c>
      <c r="N22" s="14"/>
      <c r="O22" s="14"/>
      <c r="P22" s="14"/>
      <c r="Q22" s="14"/>
      <c r="R22" s="14"/>
      <c r="T22" t="s">
        <v>118</v>
      </c>
      <c r="U22" t="s">
        <v>119</v>
      </c>
      <c r="V22" t="s">
        <v>120</v>
      </c>
      <c r="W22" t="s">
        <v>259</v>
      </c>
      <c r="X22" t="s">
        <v>260</v>
      </c>
      <c r="Y22" t="s">
        <v>261</v>
      </c>
      <c r="Z22" t="s">
        <v>262</v>
      </c>
      <c r="AA22" t="s">
        <v>263</v>
      </c>
      <c r="AB22" t="s">
        <v>264</v>
      </c>
      <c r="AC22" t="s">
        <v>265</v>
      </c>
      <c r="AD22" t="s">
        <v>115</v>
      </c>
      <c r="AE22" t="s">
        <v>116</v>
      </c>
      <c r="AF22">
        <v>0</v>
      </c>
      <c r="AG22" t="s">
        <v>117</v>
      </c>
    </row>
    <row r="23" spans="1:33" x14ac:dyDescent="0.25">
      <c r="A23" t="s">
        <v>307</v>
      </c>
      <c r="C23" t="s">
        <v>121</v>
      </c>
      <c r="D23" t="s">
        <v>122</v>
      </c>
      <c r="E23" t="s">
        <v>70</v>
      </c>
      <c r="F23" t="s">
        <v>115</v>
      </c>
      <c r="G23" t="s">
        <v>116</v>
      </c>
      <c r="H23">
        <v>0</v>
      </c>
      <c r="I23" t="s">
        <v>117</v>
      </c>
      <c r="J23" t="s">
        <v>351</v>
      </c>
      <c r="K23" t="s">
        <v>350</v>
      </c>
      <c r="L23" t="s">
        <v>359</v>
      </c>
      <c r="M23" t="s">
        <v>368</v>
      </c>
      <c r="T23" t="s">
        <v>118</v>
      </c>
      <c r="U23" t="s">
        <v>119</v>
      </c>
      <c r="V23" t="s">
        <v>120</v>
      </c>
      <c r="W23" t="s">
        <v>259</v>
      </c>
      <c r="X23" t="s">
        <v>260</v>
      </c>
      <c r="Y23" t="s">
        <v>261</v>
      </c>
      <c r="Z23" t="s">
        <v>262</v>
      </c>
      <c r="AA23" t="s">
        <v>263</v>
      </c>
      <c r="AB23" t="s">
        <v>264</v>
      </c>
      <c r="AC23" t="s">
        <v>265</v>
      </c>
      <c r="AD23" t="s">
        <v>115</v>
      </c>
      <c r="AE23" t="s">
        <v>116</v>
      </c>
      <c r="AF23">
        <v>0</v>
      </c>
      <c r="AG23" t="s">
        <v>117</v>
      </c>
    </row>
    <row r="24" spans="1:33" x14ac:dyDescent="0.25">
      <c r="A24" t="s">
        <v>308</v>
      </c>
      <c r="C24" t="s">
        <v>81</v>
      </c>
      <c r="D24" t="s">
        <v>114</v>
      </c>
      <c r="E24" t="s">
        <v>70</v>
      </c>
      <c r="F24" t="s">
        <v>115</v>
      </c>
      <c r="G24" t="s">
        <v>116</v>
      </c>
      <c r="H24">
        <v>0</v>
      </c>
      <c r="I24" t="s">
        <v>117</v>
      </c>
      <c r="J24" t="s">
        <v>335</v>
      </c>
      <c r="K24" t="s">
        <v>340</v>
      </c>
      <c r="L24" t="s">
        <v>360</v>
      </c>
      <c r="M24" t="s">
        <v>369</v>
      </c>
      <c r="N24" s="14"/>
      <c r="O24" s="14"/>
      <c r="P24" s="14"/>
      <c r="Q24" s="14"/>
      <c r="R24" s="14"/>
      <c r="T24" t="s">
        <v>118</v>
      </c>
      <c r="U24" t="s">
        <v>119</v>
      </c>
      <c r="V24" t="s">
        <v>120</v>
      </c>
      <c r="W24" t="s">
        <v>259</v>
      </c>
      <c r="X24" t="s">
        <v>260</v>
      </c>
      <c r="Y24" t="s">
        <v>261</v>
      </c>
      <c r="Z24" t="s">
        <v>262</v>
      </c>
      <c r="AA24" t="s">
        <v>263</v>
      </c>
      <c r="AB24" t="s">
        <v>264</v>
      </c>
      <c r="AC24" t="s">
        <v>265</v>
      </c>
      <c r="AD24" t="s">
        <v>115</v>
      </c>
      <c r="AE24" t="s">
        <v>116</v>
      </c>
      <c r="AF24">
        <v>0</v>
      </c>
      <c r="AG24" t="s">
        <v>117</v>
      </c>
    </row>
    <row r="25" spans="1:33" x14ac:dyDescent="0.25">
      <c r="A25" t="s">
        <v>309</v>
      </c>
      <c r="C25" t="s">
        <v>121</v>
      </c>
      <c r="D25" t="s">
        <v>122</v>
      </c>
      <c r="E25" t="s">
        <v>70</v>
      </c>
      <c r="F25" t="s">
        <v>115</v>
      </c>
      <c r="G25" t="s">
        <v>116</v>
      </c>
      <c r="H25">
        <v>0</v>
      </c>
      <c r="I25" t="s">
        <v>117</v>
      </c>
      <c r="J25" t="s">
        <v>335</v>
      </c>
      <c r="K25" t="s">
        <v>340</v>
      </c>
      <c r="L25" t="s">
        <v>360</v>
      </c>
      <c r="M25" t="s">
        <v>369</v>
      </c>
      <c r="T25" t="s">
        <v>118</v>
      </c>
      <c r="U25" t="s">
        <v>119</v>
      </c>
      <c r="V25" t="s">
        <v>120</v>
      </c>
      <c r="W25" t="s">
        <v>259</v>
      </c>
      <c r="X25" t="s">
        <v>260</v>
      </c>
      <c r="Y25" t="s">
        <v>261</v>
      </c>
      <c r="Z25" t="s">
        <v>262</v>
      </c>
      <c r="AA25" t="s">
        <v>263</v>
      </c>
      <c r="AB25" t="s">
        <v>264</v>
      </c>
      <c r="AC25" t="s">
        <v>265</v>
      </c>
      <c r="AD25" t="s">
        <v>115</v>
      </c>
      <c r="AE25" t="s">
        <v>116</v>
      </c>
      <c r="AF25">
        <v>0</v>
      </c>
      <c r="AG25" t="s">
        <v>117</v>
      </c>
    </row>
    <row r="26" spans="1:33" x14ac:dyDescent="0.25">
      <c r="A26" t="s">
        <v>310</v>
      </c>
      <c r="C26" t="s">
        <v>81</v>
      </c>
      <c r="D26" t="s">
        <v>114</v>
      </c>
      <c r="E26" t="s">
        <v>70</v>
      </c>
      <c r="F26" t="s">
        <v>115</v>
      </c>
      <c r="G26" t="s">
        <v>116</v>
      </c>
      <c r="H26">
        <v>0</v>
      </c>
      <c r="I26" t="s">
        <v>117</v>
      </c>
      <c r="J26" t="s">
        <v>336</v>
      </c>
      <c r="K26" t="s">
        <v>341</v>
      </c>
      <c r="L26" t="s">
        <v>361</v>
      </c>
      <c r="M26" t="s">
        <v>370</v>
      </c>
      <c r="N26" s="14"/>
      <c r="O26" s="14"/>
      <c r="P26" s="14"/>
      <c r="Q26" s="14"/>
      <c r="R26" s="14"/>
      <c r="T26" t="s">
        <v>118</v>
      </c>
      <c r="U26" t="s">
        <v>119</v>
      </c>
      <c r="V26" t="s">
        <v>120</v>
      </c>
      <c r="W26" t="s">
        <v>259</v>
      </c>
      <c r="X26" t="s">
        <v>260</v>
      </c>
      <c r="Y26" t="s">
        <v>261</v>
      </c>
      <c r="Z26" t="s">
        <v>262</v>
      </c>
      <c r="AA26" t="s">
        <v>263</v>
      </c>
      <c r="AB26" t="s">
        <v>264</v>
      </c>
      <c r="AC26" t="s">
        <v>265</v>
      </c>
      <c r="AD26" t="s">
        <v>115</v>
      </c>
      <c r="AE26" t="s">
        <v>116</v>
      </c>
      <c r="AF26">
        <v>0</v>
      </c>
      <c r="AG26" t="s">
        <v>117</v>
      </c>
    </row>
    <row r="27" spans="1:33" x14ac:dyDescent="0.25">
      <c r="A27" t="s">
        <v>311</v>
      </c>
      <c r="C27" t="s">
        <v>121</v>
      </c>
      <c r="D27" t="s">
        <v>122</v>
      </c>
      <c r="E27" t="s">
        <v>70</v>
      </c>
      <c r="F27" t="s">
        <v>115</v>
      </c>
      <c r="G27" t="s">
        <v>116</v>
      </c>
      <c r="H27">
        <v>0</v>
      </c>
      <c r="I27" t="s">
        <v>117</v>
      </c>
      <c r="J27" t="s">
        <v>336</v>
      </c>
      <c r="K27" t="s">
        <v>341</v>
      </c>
      <c r="L27" t="s">
        <v>361</v>
      </c>
      <c r="M27" t="s">
        <v>370</v>
      </c>
      <c r="T27" t="s">
        <v>118</v>
      </c>
      <c r="U27" t="s">
        <v>119</v>
      </c>
      <c r="V27" t="s">
        <v>120</v>
      </c>
      <c r="W27" t="s">
        <v>259</v>
      </c>
      <c r="X27" t="s">
        <v>260</v>
      </c>
      <c r="Y27" t="s">
        <v>261</v>
      </c>
      <c r="Z27" t="s">
        <v>262</v>
      </c>
      <c r="AA27" t="s">
        <v>263</v>
      </c>
      <c r="AB27" t="s">
        <v>264</v>
      </c>
      <c r="AC27" t="s">
        <v>265</v>
      </c>
      <c r="AD27" t="s">
        <v>115</v>
      </c>
      <c r="AE27" t="s">
        <v>116</v>
      </c>
      <c r="AF27">
        <v>0</v>
      </c>
      <c r="AG27" t="s">
        <v>117</v>
      </c>
    </row>
    <row r="28" spans="1:33" x14ac:dyDescent="0.25">
      <c r="A28" t="s">
        <v>312</v>
      </c>
      <c r="C28" t="s">
        <v>81</v>
      </c>
      <c r="D28" t="s">
        <v>114</v>
      </c>
      <c r="E28" t="s">
        <v>70</v>
      </c>
      <c r="F28" t="s">
        <v>115</v>
      </c>
      <c r="G28" t="s">
        <v>116</v>
      </c>
      <c r="H28">
        <v>0</v>
      </c>
      <c r="I28" t="s">
        <v>117</v>
      </c>
      <c r="J28" t="s">
        <v>352</v>
      </c>
      <c r="K28" t="s">
        <v>342</v>
      </c>
      <c r="L28" t="s">
        <v>362</v>
      </c>
      <c r="M28" t="s">
        <v>371</v>
      </c>
      <c r="N28" t="s">
        <v>379</v>
      </c>
      <c r="O28" s="14"/>
      <c r="P28" s="14"/>
      <c r="Q28" s="14"/>
      <c r="R28" s="14"/>
      <c r="T28" t="s">
        <v>118</v>
      </c>
      <c r="U28" t="s">
        <v>119</v>
      </c>
      <c r="V28" t="s">
        <v>120</v>
      </c>
      <c r="W28" t="s">
        <v>259</v>
      </c>
      <c r="X28" t="s">
        <v>260</v>
      </c>
      <c r="Y28" t="s">
        <v>261</v>
      </c>
      <c r="Z28" t="s">
        <v>262</v>
      </c>
      <c r="AA28" t="s">
        <v>263</v>
      </c>
      <c r="AB28" t="s">
        <v>264</v>
      </c>
      <c r="AC28" t="s">
        <v>265</v>
      </c>
      <c r="AD28" t="s">
        <v>115</v>
      </c>
      <c r="AE28" t="s">
        <v>116</v>
      </c>
      <c r="AF28">
        <v>0</v>
      </c>
      <c r="AG28" t="s">
        <v>117</v>
      </c>
    </row>
    <row r="29" spans="1:33" x14ac:dyDescent="0.25">
      <c r="A29" t="s">
        <v>313</v>
      </c>
      <c r="C29" t="s">
        <v>121</v>
      </c>
      <c r="D29" t="s">
        <v>122</v>
      </c>
      <c r="E29" t="s">
        <v>70</v>
      </c>
      <c r="F29" t="s">
        <v>115</v>
      </c>
      <c r="G29" t="s">
        <v>116</v>
      </c>
      <c r="H29">
        <v>0</v>
      </c>
      <c r="I29" t="s">
        <v>117</v>
      </c>
      <c r="J29" t="s">
        <v>352</v>
      </c>
      <c r="K29" t="s">
        <v>342</v>
      </c>
      <c r="L29" t="s">
        <v>362</v>
      </c>
      <c r="M29" t="s">
        <v>371</v>
      </c>
      <c r="N29" t="s">
        <v>379</v>
      </c>
      <c r="T29" t="s">
        <v>118</v>
      </c>
      <c r="U29" t="s">
        <v>119</v>
      </c>
      <c r="V29" t="s">
        <v>120</v>
      </c>
      <c r="W29" t="s">
        <v>259</v>
      </c>
      <c r="X29" t="s">
        <v>260</v>
      </c>
      <c r="Y29" t="s">
        <v>261</v>
      </c>
      <c r="Z29" t="s">
        <v>262</v>
      </c>
      <c r="AA29" t="s">
        <v>263</v>
      </c>
      <c r="AB29" t="s">
        <v>264</v>
      </c>
      <c r="AC29" t="s">
        <v>265</v>
      </c>
      <c r="AD29" t="s">
        <v>115</v>
      </c>
      <c r="AE29" t="s">
        <v>116</v>
      </c>
      <c r="AF29">
        <v>0</v>
      </c>
      <c r="AG29" t="s">
        <v>117</v>
      </c>
    </row>
    <row r="30" spans="1:33" x14ac:dyDescent="0.25">
      <c r="A30" t="s">
        <v>314</v>
      </c>
      <c r="C30" t="s">
        <v>81</v>
      </c>
      <c r="D30" t="s">
        <v>114</v>
      </c>
      <c r="E30" t="s">
        <v>70</v>
      </c>
      <c r="F30" t="s">
        <v>115</v>
      </c>
      <c r="G30" t="s">
        <v>116</v>
      </c>
      <c r="H30">
        <v>0</v>
      </c>
      <c r="I30" t="s">
        <v>117</v>
      </c>
      <c r="J30" t="s">
        <v>353</v>
      </c>
      <c r="K30" t="s">
        <v>343</v>
      </c>
      <c r="L30" t="s">
        <v>377</v>
      </c>
      <c r="M30" t="s">
        <v>378</v>
      </c>
      <c r="N30" s="14"/>
      <c r="O30" s="14"/>
      <c r="P30" s="14"/>
      <c r="Q30" s="14"/>
      <c r="R30" s="14"/>
      <c r="T30" t="s">
        <v>118</v>
      </c>
      <c r="U30" t="s">
        <v>119</v>
      </c>
      <c r="V30" t="s">
        <v>120</v>
      </c>
      <c r="W30" t="s">
        <v>259</v>
      </c>
      <c r="X30" t="s">
        <v>260</v>
      </c>
      <c r="Y30" t="s">
        <v>261</v>
      </c>
      <c r="Z30" t="s">
        <v>262</v>
      </c>
      <c r="AA30" t="s">
        <v>263</v>
      </c>
      <c r="AB30" t="s">
        <v>264</v>
      </c>
      <c r="AC30" t="s">
        <v>265</v>
      </c>
      <c r="AD30" t="s">
        <v>115</v>
      </c>
      <c r="AE30" t="s">
        <v>116</v>
      </c>
      <c r="AF30">
        <v>0</v>
      </c>
      <c r="AG30" t="s">
        <v>117</v>
      </c>
    </row>
    <row r="31" spans="1:33" x14ac:dyDescent="0.25">
      <c r="A31" t="s">
        <v>315</v>
      </c>
      <c r="C31" t="s">
        <v>121</v>
      </c>
      <c r="D31" t="s">
        <v>122</v>
      </c>
      <c r="E31" t="s">
        <v>70</v>
      </c>
      <c r="F31" t="s">
        <v>115</v>
      </c>
      <c r="G31" t="s">
        <v>116</v>
      </c>
      <c r="H31">
        <v>0</v>
      </c>
      <c r="I31" t="s">
        <v>117</v>
      </c>
      <c r="J31" t="s">
        <v>353</v>
      </c>
      <c r="K31" t="s">
        <v>343</v>
      </c>
      <c r="L31" t="s">
        <v>377</v>
      </c>
      <c r="M31" t="s">
        <v>378</v>
      </c>
      <c r="T31" t="s">
        <v>118</v>
      </c>
      <c r="U31" t="s">
        <v>119</v>
      </c>
      <c r="V31" t="s">
        <v>120</v>
      </c>
      <c r="W31" t="s">
        <v>259</v>
      </c>
      <c r="X31" t="s">
        <v>260</v>
      </c>
      <c r="Y31" t="s">
        <v>261</v>
      </c>
      <c r="Z31" t="s">
        <v>262</v>
      </c>
      <c r="AA31" t="s">
        <v>263</v>
      </c>
      <c r="AB31" t="s">
        <v>264</v>
      </c>
      <c r="AC31" t="s">
        <v>265</v>
      </c>
      <c r="AD31" t="s">
        <v>115</v>
      </c>
      <c r="AE31" t="s">
        <v>116</v>
      </c>
      <c r="AF31">
        <v>0</v>
      </c>
      <c r="AG31" t="s">
        <v>117</v>
      </c>
    </row>
    <row r="32" spans="1:33" x14ac:dyDescent="0.25">
      <c r="A32" t="s">
        <v>316</v>
      </c>
      <c r="C32" t="s">
        <v>81</v>
      </c>
      <c r="D32" t="s">
        <v>114</v>
      </c>
      <c r="E32" t="s">
        <v>70</v>
      </c>
      <c r="F32" t="s">
        <v>115</v>
      </c>
      <c r="G32" t="s">
        <v>116</v>
      </c>
      <c r="H32">
        <v>0</v>
      </c>
      <c r="I32" t="s">
        <v>117</v>
      </c>
      <c r="J32" t="s">
        <v>337</v>
      </c>
      <c r="K32" t="s">
        <v>344</v>
      </c>
      <c r="L32" t="s">
        <v>363</v>
      </c>
      <c r="M32" t="s">
        <v>372</v>
      </c>
      <c r="N32" s="14"/>
      <c r="O32" s="14"/>
      <c r="P32" s="14"/>
      <c r="Q32" s="14"/>
      <c r="R32" s="14"/>
      <c r="T32" t="s">
        <v>118</v>
      </c>
      <c r="U32" t="s">
        <v>119</v>
      </c>
      <c r="V32" t="s">
        <v>120</v>
      </c>
      <c r="W32" t="s">
        <v>259</v>
      </c>
      <c r="X32" t="s">
        <v>260</v>
      </c>
      <c r="Y32" t="s">
        <v>261</v>
      </c>
      <c r="Z32" t="s">
        <v>262</v>
      </c>
      <c r="AA32" t="s">
        <v>263</v>
      </c>
      <c r="AB32" t="s">
        <v>264</v>
      </c>
      <c r="AC32" t="s">
        <v>265</v>
      </c>
      <c r="AD32" t="s">
        <v>115</v>
      </c>
      <c r="AE32" t="s">
        <v>116</v>
      </c>
      <c r="AF32">
        <v>0</v>
      </c>
      <c r="AG32" t="s">
        <v>117</v>
      </c>
    </row>
    <row r="33" spans="1:33" x14ac:dyDescent="0.25">
      <c r="A33" t="s">
        <v>317</v>
      </c>
      <c r="C33" t="s">
        <v>121</v>
      </c>
      <c r="D33" t="s">
        <v>122</v>
      </c>
      <c r="E33" t="s">
        <v>70</v>
      </c>
      <c r="F33" t="s">
        <v>115</v>
      </c>
      <c r="G33" t="s">
        <v>116</v>
      </c>
      <c r="H33">
        <v>0</v>
      </c>
      <c r="I33" t="s">
        <v>117</v>
      </c>
      <c r="J33" t="s">
        <v>337</v>
      </c>
      <c r="K33" t="s">
        <v>344</v>
      </c>
      <c r="L33" t="s">
        <v>363</v>
      </c>
      <c r="M33" t="s">
        <v>372</v>
      </c>
      <c r="T33" t="s">
        <v>118</v>
      </c>
      <c r="U33" t="s">
        <v>119</v>
      </c>
      <c r="V33" t="s">
        <v>120</v>
      </c>
      <c r="W33" t="s">
        <v>259</v>
      </c>
      <c r="X33" t="s">
        <v>260</v>
      </c>
      <c r="Y33" t="s">
        <v>261</v>
      </c>
      <c r="Z33" t="s">
        <v>262</v>
      </c>
      <c r="AA33" t="s">
        <v>263</v>
      </c>
      <c r="AB33" t="s">
        <v>264</v>
      </c>
      <c r="AC33" t="s">
        <v>265</v>
      </c>
      <c r="AD33" t="s">
        <v>115</v>
      </c>
      <c r="AE33" t="s">
        <v>116</v>
      </c>
      <c r="AF33">
        <v>0</v>
      </c>
      <c r="AG33" t="s">
        <v>117</v>
      </c>
    </row>
    <row r="34" spans="1:33" x14ac:dyDescent="0.25">
      <c r="A34" t="s">
        <v>318</v>
      </c>
      <c r="C34" t="s">
        <v>81</v>
      </c>
      <c r="D34" t="s">
        <v>114</v>
      </c>
      <c r="E34" t="s">
        <v>70</v>
      </c>
      <c r="F34" t="s">
        <v>115</v>
      </c>
      <c r="G34" t="s">
        <v>116</v>
      </c>
      <c r="H34">
        <v>0</v>
      </c>
      <c r="I34" t="s">
        <v>117</v>
      </c>
      <c r="J34" t="s">
        <v>338</v>
      </c>
      <c r="K34" t="s">
        <v>345</v>
      </c>
      <c r="L34" t="s">
        <v>364</v>
      </c>
      <c r="M34" t="s">
        <v>373</v>
      </c>
      <c r="N34" s="14"/>
      <c r="O34" s="14"/>
      <c r="P34" s="14"/>
      <c r="Q34" s="14"/>
      <c r="R34" s="14"/>
      <c r="T34" t="s">
        <v>118</v>
      </c>
      <c r="U34" t="s">
        <v>119</v>
      </c>
      <c r="V34" t="s">
        <v>120</v>
      </c>
      <c r="W34" t="s">
        <v>259</v>
      </c>
      <c r="X34" t="s">
        <v>260</v>
      </c>
      <c r="Y34" t="s">
        <v>261</v>
      </c>
      <c r="Z34" t="s">
        <v>262</v>
      </c>
      <c r="AA34" t="s">
        <v>263</v>
      </c>
      <c r="AB34" t="s">
        <v>264</v>
      </c>
      <c r="AC34" t="s">
        <v>265</v>
      </c>
      <c r="AD34" t="s">
        <v>115</v>
      </c>
      <c r="AE34" t="s">
        <v>116</v>
      </c>
      <c r="AF34">
        <v>0</v>
      </c>
      <c r="AG34" t="s">
        <v>117</v>
      </c>
    </row>
    <row r="35" spans="1:33" x14ac:dyDescent="0.25">
      <c r="A35" t="s">
        <v>319</v>
      </c>
      <c r="C35" t="s">
        <v>121</v>
      </c>
      <c r="D35" t="s">
        <v>122</v>
      </c>
      <c r="E35" t="s">
        <v>70</v>
      </c>
      <c r="F35" t="s">
        <v>115</v>
      </c>
      <c r="G35" t="s">
        <v>116</v>
      </c>
      <c r="H35">
        <v>0</v>
      </c>
      <c r="I35" t="s">
        <v>117</v>
      </c>
      <c r="J35" t="s">
        <v>338</v>
      </c>
      <c r="K35" t="s">
        <v>345</v>
      </c>
      <c r="L35" t="s">
        <v>364</v>
      </c>
      <c r="M35" t="s">
        <v>373</v>
      </c>
      <c r="T35" t="s">
        <v>118</v>
      </c>
      <c r="U35" t="s">
        <v>119</v>
      </c>
      <c r="V35" t="s">
        <v>120</v>
      </c>
      <c r="W35" t="s">
        <v>259</v>
      </c>
      <c r="X35" t="s">
        <v>260</v>
      </c>
      <c r="Y35" t="s">
        <v>261</v>
      </c>
      <c r="Z35" t="s">
        <v>262</v>
      </c>
      <c r="AA35" t="s">
        <v>263</v>
      </c>
      <c r="AB35" t="s">
        <v>264</v>
      </c>
      <c r="AC35" t="s">
        <v>265</v>
      </c>
      <c r="AD35" t="s">
        <v>115</v>
      </c>
      <c r="AE35" t="s">
        <v>116</v>
      </c>
      <c r="AF35">
        <v>0</v>
      </c>
      <c r="AG35" t="s">
        <v>117</v>
      </c>
    </row>
    <row r="36" spans="1:33" x14ac:dyDescent="0.25">
      <c r="A36" t="s">
        <v>326</v>
      </c>
      <c r="C36" t="s">
        <v>81</v>
      </c>
      <c r="D36" t="s">
        <v>114</v>
      </c>
      <c r="E36" t="s">
        <v>70</v>
      </c>
      <c r="F36" t="s">
        <v>115</v>
      </c>
      <c r="G36" t="s">
        <v>116</v>
      </c>
      <c r="H36">
        <v>0</v>
      </c>
      <c r="I36" t="s">
        <v>117</v>
      </c>
      <c r="J36" t="s">
        <v>354</v>
      </c>
      <c r="K36" t="s">
        <v>346</v>
      </c>
      <c r="L36" t="s">
        <v>365</v>
      </c>
      <c r="M36" t="s">
        <v>374</v>
      </c>
      <c r="N36" s="14"/>
      <c r="O36" s="14"/>
      <c r="P36" s="14"/>
      <c r="Q36" s="14"/>
      <c r="R36" s="14"/>
      <c r="T36" t="s">
        <v>118</v>
      </c>
      <c r="U36" t="s">
        <v>119</v>
      </c>
      <c r="V36" t="s">
        <v>120</v>
      </c>
      <c r="W36" t="s">
        <v>259</v>
      </c>
      <c r="X36" t="s">
        <v>260</v>
      </c>
      <c r="Y36" t="s">
        <v>261</v>
      </c>
      <c r="Z36" t="s">
        <v>262</v>
      </c>
      <c r="AA36" t="s">
        <v>263</v>
      </c>
      <c r="AB36" t="s">
        <v>264</v>
      </c>
      <c r="AC36" t="s">
        <v>265</v>
      </c>
      <c r="AD36" t="s">
        <v>115</v>
      </c>
      <c r="AE36" t="s">
        <v>116</v>
      </c>
      <c r="AF36">
        <v>0</v>
      </c>
      <c r="AG36" t="s">
        <v>117</v>
      </c>
    </row>
    <row r="37" spans="1:33" x14ac:dyDescent="0.25">
      <c r="A37" t="s">
        <v>327</v>
      </c>
      <c r="C37" t="s">
        <v>121</v>
      </c>
      <c r="D37" t="s">
        <v>122</v>
      </c>
      <c r="E37" t="s">
        <v>70</v>
      </c>
      <c r="F37" t="s">
        <v>115</v>
      </c>
      <c r="G37" t="s">
        <v>116</v>
      </c>
      <c r="H37">
        <v>0</v>
      </c>
      <c r="I37" t="s">
        <v>117</v>
      </c>
      <c r="J37" t="s">
        <v>354</v>
      </c>
      <c r="K37" t="s">
        <v>346</v>
      </c>
      <c r="L37" t="s">
        <v>365</v>
      </c>
      <c r="M37" t="s">
        <v>374</v>
      </c>
      <c r="T37" t="s">
        <v>118</v>
      </c>
      <c r="U37" t="s">
        <v>119</v>
      </c>
      <c r="V37" t="s">
        <v>120</v>
      </c>
      <c r="W37" t="s">
        <v>259</v>
      </c>
      <c r="X37" t="s">
        <v>260</v>
      </c>
      <c r="Y37" t="s">
        <v>261</v>
      </c>
      <c r="Z37" t="s">
        <v>262</v>
      </c>
      <c r="AA37" t="s">
        <v>263</v>
      </c>
      <c r="AB37" t="s">
        <v>264</v>
      </c>
      <c r="AC37" t="s">
        <v>265</v>
      </c>
      <c r="AD37" t="s">
        <v>115</v>
      </c>
      <c r="AE37" t="s">
        <v>116</v>
      </c>
      <c r="AF37">
        <v>0</v>
      </c>
      <c r="AG37" t="s">
        <v>117</v>
      </c>
    </row>
    <row r="38" spans="1:33" x14ac:dyDescent="0.25">
      <c r="A38" t="s">
        <v>328</v>
      </c>
      <c r="C38" t="s">
        <v>81</v>
      </c>
      <c r="D38" t="s">
        <v>114</v>
      </c>
      <c r="E38" t="s">
        <v>70</v>
      </c>
      <c r="F38" t="s">
        <v>115</v>
      </c>
      <c r="G38" t="s">
        <v>116</v>
      </c>
      <c r="H38">
        <v>0</v>
      </c>
      <c r="I38" t="s">
        <v>117</v>
      </c>
      <c r="J38" t="s">
        <v>226</v>
      </c>
      <c r="K38" t="s">
        <v>347</v>
      </c>
      <c r="L38" t="s">
        <v>380</v>
      </c>
      <c r="M38" t="s">
        <v>375</v>
      </c>
      <c r="N38" t="s">
        <v>348</v>
      </c>
      <c r="O38" s="14"/>
      <c r="P38" s="14"/>
      <c r="Q38" s="14"/>
      <c r="R38" s="14"/>
      <c r="T38" t="s">
        <v>118</v>
      </c>
      <c r="U38" t="s">
        <v>119</v>
      </c>
      <c r="V38" t="s">
        <v>120</v>
      </c>
      <c r="W38" t="s">
        <v>259</v>
      </c>
      <c r="X38" t="s">
        <v>260</v>
      </c>
      <c r="Y38" t="s">
        <v>261</v>
      </c>
      <c r="Z38" t="s">
        <v>262</v>
      </c>
      <c r="AA38" t="s">
        <v>263</v>
      </c>
      <c r="AB38" t="s">
        <v>264</v>
      </c>
      <c r="AC38" t="s">
        <v>265</v>
      </c>
      <c r="AD38" t="s">
        <v>115</v>
      </c>
      <c r="AE38" t="s">
        <v>116</v>
      </c>
      <c r="AF38">
        <v>0</v>
      </c>
      <c r="AG38" t="s">
        <v>117</v>
      </c>
    </row>
    <row r="39" spans="1:33" x14ac:dyDescent="0.25">
      <c r="A39" t="s">
        <v>329</v>
      </c>
      <c r="C39" t="s">
        <v>121</v>
      </c>
      <c r="D39" t="s">
        <v>122</v>
      </c>
      <c r="E39" t="s">
        <v>70</v>
      </c>
      <c r="F39" t="s">
        <v>115</v>
      </c>
      <c r="G39" t="s">
        <v>116</v>
      </c>
      <c r="H39">
        <v>0</v>
      </c>
      <c r="I39" t="s">
        <v>117</v>
      </c>
      <c r="J39" t="s">
        <v>226</v>
      </c>
      <c r="K39" t="s">
        <v>347</v>
      </c>
      <c r="L39" t="s">
        <v>380</v>
      </c>
      <c r="M39" t="s">
        <v>375</v>
      </c>
      <c r="N39" t="s">
        <v>348</v>
      </c>
      <c r="T39" t="s">
        <v>118</v>
      </c>
      <c r="U39" t="s">
        <v>119</v>
      </c>
      <c r="V39" t="s">
        <v>120</v>
      </c>
      <c r="W39" t="s">
        <v>259</v>
      </c>
      <c r="X39" t="s">
        <v>260</v>
      </c>
      <c r="Y39" t="s">
        <v>261</v>
      </c>
      <c r="Z39" t="s">
        <v>262</v>
      </c>
      <c r="AA39" t="s">
        <v>263</v>
      </c>
      <c r="AB39" t="s">
        <v>264</v>
      </c>
      <c r="AC39" t="s">
        <v>265</v>
      </c>
      <c r="AD39" t="s">
        <v>115</v>
      </c>
      <c r="AE39" t="s">
        <v>116</v>
      </c>
      <c r="AF39">
        <v>0</v>
      </c>
      <c r="AG39" t="s">
        <v>117</v>
      </c>
    </row>
    <row r="40" spans="1:33" x14ac:dyDescent="0.25">
      <c r="A40" t="s">
        <v>330</v>
      </c>
      <c r="C40" t="s">
        <v>81</v>
      </c>
      <c r="D40" t="s">
        <v>114</v>
      </c>
      <c r="E40" t="s">
        <v>70</v>
      </c>
      <c r="F40" t="s">
        <v>115</v>
      </c>
      <c r="G40" t="s">
        <v>116</v>
      </c>
      <c r="H40">
        <v>0</v>
      </c>
      <c r="I40" t="s">
        <v>117</v>
      </c>
      <c r="J40" t="s">
        <v>355</v>
      </c>
      <c r="K40" t="s">
        <v>349</v>
      </c>
      <c r="L40" t="s">
        <v>366</v>
      </c>
      <c r="M40" t="s">
        <v>376</v>
      </c>
      <c r="N40" s="14"/>
      <c r="O40" s="14"/>
      <c r="P40" s="14"/>
      <c r="Q40" s="14"/>
      <c r="R40" s="14"/>
      <c r="T40" t="s">
        <v>118</v>
      </c>
      <c r="U40" t="s">
        <v>119</v>
      </c>
      <c r="V40" t="s">
        <v>120</v>
      </c>
      <c r="W40" t="s">
        <v>259</v>
      </c>
      <c r="X40" t="s">
        <v>260</v>
      </c>
      <c r="Y40" t="s">
        <v>261</v>
      </c>
      <c r="Z40" t="s">
        <v>262</v>
      </c>
      <c r="AA40" t="s">
        <v>263</v>
      </c>
      <c r="AB40" t="s">
        <v>264</v>
      </c>
      <c r="AC40" t="s">
        <v>265</v>
      </c>
      <c r="AD40" t="s">
        <v>115</v>
      </c>
      <c r="AE40" t="s">
        <v>116</v>
      </c>
      <c r="AF40">
        <v>0</v>
      </c>
      <c r="AG40" t="s">
        <v>117</v>
      </c>
    </row>
    <row r="41" spans="1:33" x14ac:dyDescent="0.25">
      <c r="A41" t="s">
        <v>331</v>
      </c>
      <c r="C41" t="s">
        <v>121</v>
      </c>
      <c r="D41" t="s">
        <v>122</v>
      </c>
      <c r="E41" t="s">
        <v>70</v>
      </c>
      <c r="F41" t="s">
        <v>115</v>
      </c>
      <c r="G41" t="s">
        <v>116</v>
      </c>
      <c r="H41">
        <v>0</v>
      </c>
      <c r="I41" t="s">
        <v>117</v>
      </c>
      <c r="J41" t="s">
        <v>355</v>
      </c>
      <c r="K41" t="s">
        <v>349</v>
      </c>
      <c r="L41" t="s">
        <v>366</v>
      </c>
      <c r="M41" t="s">
        <v>376</v>
      </c>
      <c r="T41" t="s">
        <v>118</v>
      </c>
      <c r="U41" t="s">
        <v>119</v>
      </c>
      <c r="V41" t="s">
        <v>120</v>
      </c>
      <c r="W41" t="s">
        <v>259</v>
      </c>
      <c r="X41" t="s">
        <v>260</v>
      </c>
      <c r="Y41" t="s">
        <v>261</v>
      </c>
      <c r="Z41" t="s">
        <v>262</v>
      </c>
      <c r="AA41" t="s">
        <v>263</v>
      </c>
      <c r="AB41" t="s">
        <v>264</v>
      </c>
      <c r="AC41" t="s">
        <v>265</v>
      </c>
      <c r="AD41" t="s">
        <v>115</v>
      </c>
      <c r="AE41" t="s">
        <v>116</v>
      </c>
      <c r="AF41">
        <v>0</v>
      </c>
      <c r="AG41" t="s">
        <v>117</v>
      </c>
    </row>
    <row r="42" spans="1:33" x14ac:dyDescent="0.25">
      <c r="A42" t="s">
        <v>266</v>
      </c>
      <c r="C42" t="s">
        <v>81</v>
      </c>
      <c r="D42" t="s">
        <v>114</v>
      </c>
      <c r="E42" t="s">
        <v>70</v>
      </c>
      <c r="F42" t="s">
        <v>115</v>
      </c>
      <c r="G42" t="s">
        <v>116</v>
      </c>
      <c r="H42">
        <v>0</v>
      </c>
      <c r="I42" t="s">
        <v>117</v>
      </c>
      <c r="J42" t="s">
        <v>383</v>
      </c>
      <c r="K42" t="s">
        <v>382</v>
      </c>
      <c r="T42" t="s">
        <v>118</v>
      </c>
      <c r="U42" t="s">
        <v>119</v>
      </c>
      <c r="V42" t="s">
        <v>120</v>
      </c>
      <c r="W42" t="s">
        <v>259</v>
      </c>
      <c r="X42" t="s">
        <v>260</v>
      </c>
      <c r="Y42" t="s">
        <v>261</v>
      </c>
      <c r="Z42" t="s">
        <v>262</v>
      </c>
      <c r="AA42" t="s">
        <v>263</v>
      </c>
      <c r="AB42" t="s">
        <v>264</v>
      </c>
      <c r="AC42" t="s">
        <v>265</v>
      </c>
      <c r="AD42" t="s">
        <v>115</v>
      </c>
      <c r="AE42" t="s">
        <v>116</v>
      </c>
      <c r="AF42">
        <v>0</v>
      </c>
      <c r="AG42" t="s">
        <v>117</v>
      </c>
    </row>
    <row r="43" spans="1:33" x14ac:dyDescent="0.25">
      <c r="A43" t="s">
        <v>267</v>
      </c>
      <c r="C43" t="s">
        <v>121</v>
      </c>
      <c r="D43" t="s">
        <v>122</v>
      </c>
      <c r="E43" t="s">
        <v>70</v>
      </c>
      <c r="F43" t="s">
        <v>115</v>
      </c>
      <c r="G43" t="s">
        <v>116</v>
      </c>
      <c r="H43">
        <v>0</v>
      </c>
      <c r="I43" t="s">
        <v>117</v>
      </c>
      <c r="J43" t="s">
        <v>383</v>
      </c>
      <c r="K43" t="s">
        <v>382</v>
      </c>
      <c r="T43" t="s">
        <v>118</v>
      </c>
      <c r="U43" t="s">
        <v>119</v>
      </c>
      <c r="V43" t="s">
        <v>120</v>
      </c>
      <c r="W43" t="s">
        <v>259</v>
      </c>
      <c r="X43" t="s">
        <v>260</v>
      </c>
      <c r="Y43" t="s">
        <v>261</v>
      </c>
      <c r="Z43" t="s">
        <v>262</v>
      </c>
      <c r="AA43" t="s">
        <v>263</v>
      </c>
      <c r="AB43" t="s">
        <v>264</v>
      </c>
      <c r="AC43" t="s">
        <v>265</v>
      </c>
      <c r="AD43" t="s">
        <v>115</v>
      </c>
      <c r="AE43" t="s">
        <v>116</v>
      </c>
      <c r="AF43">
        <v>0</v>
      </c>
      <c r="AG43" t="s">
        <v>117</v>
      </c>
    </row>
    <row r="44" spans="1:33" x14ac:dyDescent="0.25">
      <c r="A44" t="s">
        <v>268</v>
      </c>
      <c r="C44" t="s">
        <v>81</v>
      </c>
      <c r="D44" t="s">
        <v>114</v>
      </c>
      <c r="E44" t="s">
        <v>70</v>
      </c>
      <c r="F44" t="s">
        <v>115</v>
      </c>
      <c r="G44" t="s">
        <v>116</v>
      </c>
      <c r="H44">
        <v>0</v>
      </c>
      <c r="I44" t="s">
        <v>117</v>
      </c>
      <c r="J44" t="s">
        <v>381</v>
      </c>
      <c r="K44" t="s">
        <v>190</v>
      </c>
      <c r="L44" t="s">
        <v>192</v>
      </c>
      <c r="M44" t="s">
        <v>191</v>
      </c>
      <c r="N44" s="14"/>
      <c r="O44" s="14"/>
      <c r="P44" s="14"/>
      <c r="Q44" s="14"/>
      <c r="R44" s="14"/>
      <c r="T44" t="s">
        <v>118</v>
      </c>
      <c r="U44" t="s">
        <v>119</v>
      </c>
      <c r="V44" t="s">
        <v>120</v>
      </c>
      <c r="W44" t="s">
        <v>259</v>
      </c>
      <c r="X44" t="s">
        <v>260</v>
      </c>
      <c r="Y44" t="s">
        <v>261</v>
      </c>
      <c r="Z44" t="s">
        <v>262</v>
      </c>
      <c r="AA44" t="s">
        <v>263</v>
      </c>
      <c r="AB44" t="s">
        <v>264</v>
      </c>
      <c r="AC44" t="s">
        <v>265</v>
      </c>
      <c r="AD44" t="s">
        <v>115</v>
      </c>
      <c r="AE44" t="s">
        <v>116</v>
      </c>
      <c r="AF44">
        <v>0</v>
      </c>
      <c r="AG44" t="s">
        <v>117</v>
      </c>
    </row>
    <row r="45" spans="1:33" x14ac:dyDescent="0.25">
      <c r="A45" t="s">
        <v>269</v>
      </c>
      <c r="C45" t="s">
        <v>121</v>
      </c>
      <c r="D45" t="s">
        <v>122</v>
      </c>
      <c r="E45" t="s">
        <v>70</v>
      </c>
      <c r="F45" t="s">
        <v>115</v>
      </c>
      <c r="G45" t="s">
        <v>116</v>
      </c>
      <c r="H45">
        <v>0</v>
      </c>
      <c r="I45" t="s">
        <v>117</v>
      </c>
      <c r="J45" t="s">
        <v>381</v>
      </c>
      <c r="K45" t="s">
        <v>190</v>
      </c>
      <c r="L45" t="s">
        <v>192</v>
      </c>
      <c r="M45" t="s">
        <v>191</v>
      </c>
      <c r="T45" t="s">
        <v>118</v>
      </c>
      <c r="U45" t="s">
        <v>119</v>
      </c>
      <c r="V45" t="s">
        <v>120</v>
      </c>
      <c r="W45" t="s">
        <v>259</v>
      </c>
      <c r="X45" t="s">
        <v>260</v>
      </c>
      <c r="Y45" t="s">
        <v>261</v>
      </c>
      <c r="Z45" t="s">
        <v>262</v>
      </c>
      <c r="AA45" t="s">
        <v>263</v>
      </c>
      <c r="AB45" t="s">
        <v>264</v>
      </c>
      <c r="AC45" t="s">
        <v>265</v>
      </c>
      <c r="AD45" t="s">
        <v>115</v>
      </c>
      <c r="AE45" t="s">
        <v>116</v>
      </c>
      <c r="AF45">
        <v>0</v>
      </c>
      <c r="AG45" t="s">
        <v>117</v>
      </c>
    </row>
    <row r="46" spans="1:33" x14ac:dyDescent="0.25">
      <c r="A46" t="s">
        <v>270</v>
      </c>
      <c r="C46" t="s">
        <v>81</v>
      </c>
      <c r="D46" t="s">
        <v>114</v>
      </c>
      <c r="E46" t="s">
        <v>70</v>
      </c>
      <c r="F46" t="s">
        <v>115</v>
      </c>
      <c r="G46" t="s">
        <v>116</v>
      </c>
      <c r="H46">
        <v>0</v>
      </c>
      <c r="I46" t="s">
        <v>117</v>
      </c>
      <c r="J46" t="s">
        <v>194</v>
      </c>
      <c r="K46" t="s">
        <v>193</v>
      </c>
      <c r="L46" t="s">
        <v>196</v>
      </c>
      <c r="M46" t="s">
        <v>195</v>
      </c>
      <c r="N46" t="s">
        <v>334</v>
      </c>
      <c r="O46" t="s">
        <v>339</v>
      </c>
      <c r="P46" t="s">
        <v>358</v>
      </c>
      <c r="Q46" t="s">
        <v>367</v>
      </c>
      <c r="R46" s="14"/>
      <c r="T46" t="s">
        <v>118</v>
      </c>
      <c r="U46" t="s">
        <v>119</v>
      </c>
      <c r="V46" t="s">
        <v>120</v>
      </c>
      <c r="W46" t="s">
        <v>259</v>
      </c>
      <c r="X46" t="s">
        <v>260</v>
      </c>
      <c r="Y46" t="s">
        <v>261</v>
      </c>
      <c r="Z46" t="s">
        <v>262</v>
      </c>
      <c r="AA46" t="s">
        <v>263</v>
      </c>
      <c r="AB46" t="s">
        <v>264</v>
      </c>
      <c r="AC46" t="s">
        <v>265</v>
      </c>
      <c r="AD46" t="s">
        <v>115</v>
      </c>
      <c r="AE46" t="s">
        <v>116</v>
      </c>
      <c r="AF46">
        <v>0</v>
      </c>
      <c r="AG46" t="s">
        <v>117</v>
      </c>
    </row>
    <row r="47" spans="1:33" x14ac:dyDescent="0.25">
      <c r="A47" t="s">
        <v>271</v>
      </c>
      <c r="C47" t="s">
        <v>121</v>
      </c>
      <c r="D47" t="s">
        <v>122</v>
      </c>
      <c r="E47" t="s">
        <v>70</v>
      </c>
      <c r="F47" t="s">
        <v>115</v>
      </c>
      <c r="G47" t="s">
        <v>116</v>
      </c>
      <c r="H47">
        <v>0</v>
      </c>
      <c r="I47" t="s">
        <v>117</v>
      </c>
      <c r="J47" t="s">
        <v>194</v>
      </c>
      <c r="K47" t="s">
        <v>193</v>
      </c>
      <c r="L47" t="s">
        <v>196</v>
      </c>
      <c r="M47" t="s">
        <v>195</v>
      </c>
      <c r="N47" t="s">
        <v>334</v>
      </c>
      <c r="O47" t="s">
        <v>339</v>
      </c>
      <c r="P47" t="s">
        <v>358</v>
      </c>
      <c r="Q47" t="s">
        <v>367</v>
      </c>
      <c r="R47" s="14"/>
      <c r="T47" t="s">
        <v>118</v>
      </c>
      <c r="U47" t="s">
        <v>119</v>
      </c>
      <c r="V47" t="s">
        <v>120</v>
      </c>
      <c r="W47" t="s">
        <v>259</v>
      </c>
      <c r="X47" t="s">
        <v>260</v>
      </c>
      <c r="Y47" t="s">
        <v>261</v>
      </c>
      <c r="Z47" t="s">
        <v>262</v>
      </c>
      <c r="AA47" t="s">
        <v>263</v>
      </c>
      <c r="AB47" t="s">
        <v>264</v>
      </c>
      <c r="AC47" t="s">
        <v>265</v>
      </c>
      <c r="AD47" t="s">
        <v>115</v>
      </c>
      <c r="AE47" t="s">
        <v>116</v>
      </c>
      <c r="AF47">
        <v>0</v>
      </c>
      <c r="AG47" t="s">
        <v>117</v>
      </c>
    </row>
    <row r="48" spans="1:33" x14ac:dyDescent="0.25">
      <c r="A48" t="s">
        <v>272</v>
      </c>
      <c r="C48" t="s">
        <v>81</v>
      </c>
      <c r="D48" t="s">
        <v>114</v>
      </c>
      <c r="E48" t="s">
        <v>70</v>
      </c>
      <c r="F48" t="s">
        <v>115</v>
      </c>
      <c r="G48" t="s">
        <v>116</v>
      </c>
      <c r="H48">
        <v>0</v>
      </c>
      <c r="I48" t="s">
        <v>117</v>
      </c>
      <c r="J48" t="s">
        <v>198</v>
      </c>
      <c r="K48" t="s">
        <v>197</v>
      </c>
      <c r="L48" t="s">
        <v>200</v>
      </c>
      <c r="M48" t="s">
        <v>199</v>
      </c>
      <c r="N48" t="s">
        <v>351</v>
      </c>
      <c r="O48" t="s">
        <v>350</v>
      </c>
      <c r="P48" t="s">
        <v>359</v>
      </c>
      <c r="Q48" t="s">
        <v>368</v>
      </c>
      <c r="R48" t="s">
        <v>201</v>
      </c>
      <c r="T48" t="s">
        <v>118</v>
      </c>
      <c r="U48" t="s">
        <v>119</v>
      </c>
      <c r="V48" t="s">
        <v>120</v>
      </c>
      <c r="W48" t="s">
        <v>259</v>
      </c>
      <c r="X48" t="s">
        <v>260</v>
      </c>
      <c r="Y48" t="s">
        <v>261</v>
      </c>
      <c r="Z48" t="s">
        <v>262</v>
      </c>
      <c r="AA48" t="s">
        <v>263</v>
      </c>
      <c r="AB48" t="s">
        <v>264</v>
      </c>
      <c r="AC48" t="s">
        <v>265</v>
      </c>
      <c r="AD48" t="s">
        <v>115</v>
      </c>
      <c r="AE48" t="s">
        <v>116</v>
      </c>
      <c r="AF48">
        <v>0</v>
      </c>
      <c r="AG48" t="s">
        <v>117</v>
      </c>
    </row>
    <row r="49" spans="1:33" x14ac:dyDescent="0.25">
      <c r="A49" t="s">
        <v>273</v>
      </c>
      <c r="C49" t="s">
        <v>121</v>
      </c>
      <c r="D49" t="s">
        <v>122</v>
      </c>
      <c r="E49" t="s">
        <v>70</v>
      </c>
      <c r="F49" t="s">
        <v>115</v>
      </c>
      <c r="G49" t="s">
        <v>116</v>
      </c>
      <c r="H49">
        <v>0</v>
      </c>
      <c r="I49" t="s">
        <v>117</v>
      </c>
      <c r="J49" t="s">
        <v>198</v>
      </c>
      <c r="K49" t="s">
        <v>197</v>
      </c>
      <c r="L49" t="s">
        <v>200</v>
      </c>
      <c r="M49" t="s">
        <v>199</v>
      </c>
      <c r="N49" t="s">
        <v>351</v>
      </c>
      <c r="O49" t="s">
        <v>350</v>
      </c>
      <c r="P49" t="s">
        <v>359</v>
      </c>
      <c r="Q49" t="s">
        <v>368</v>
      </c>
      <c r="R49" t="s">
        <v>201</v>
      </c>
      <c r="T49" t="s">
        <v>118</v>
      </c>
      <c r="U49" t="s">
        <v>119</v>
      </c>
      <c r="V49" t="s">
        <v>120</v>
      </c>
      <c r="W49" t="s">
        <v>259</v>
      </c>
      <c r="X49" t="s">
        <v>260</v>
      </c>
      <c r="Y49" t="s">
        <v>261</v>
      </c>
      <c r="Z49" t="s">
        <v>262</v>
      </c>
      <c r="AA49" t="s">
        <v>263</v>
      </c>
      <c r="AB49" t="s">
        <v>264</v>
      </c>
      <c r="AC49" t="s">
        <v>265</v>
      </c>
      <c r="AD49" t="s">
        <v>115</v>
      </c>
      <c r="AE49" t="s">
        <v>116</v>
      </c>
      <c r="AF49">
        <v>0</v>
      </c>
      <c r="AG49" t="s">
        <v>117</v>
      </c>
    </row>
    <row r="50" spans="1:33" x14ac:dyDescent="0.25">
      <c r="A50" t="s">
        <v>274</v>
      </c>
      <c r="C50" t="s">
        <v>81</v>
      </c>
      <c r="D50" t="s">
        <v>114</v>
      </c>
      <c r="E50" t="s">
        <v>70</v>
      </c>
      <c r="F50" t="s">
        <v>115</v>
      </c>
      <c r="G50" t="s">
        <v>116</v>
      </c>
      <c r="H50">
        <v>0</v>
      </c>
      <c r="I50" t="s">
        <v>117</v>
      </c>
      <c r="J50" t="s">
        <v>203</v>
      </c>
      <c r="K50" t="s">
        <v>202</v>
      </c>
      <c r="L50" t="s">
        <v>205</v>
      </c>
      <c r="M50" t="s">
        <v>204</v>
      </c>
      <c r="N50" t="s">
        <v>335</v>
      </c>
      <c r="O50" t="s">
        <v>340</v>
      </c>
      <c r="P50" t="s">
        <v>360</v>
      </c>
      <c r="Q50" t="s">
        <v>369</v>
      </c>
      <c r="R50" s="14"/>
      <c r="T50" t="s">
        <v>118</v>
      </c>
      <c r="U50" t="s">
        <v>119</v>
      </c>
      <c r="V50" t="s">
        <v>120</v>
      </c>
      <c r="W50" t="s">
        <v>259</v>
      </c>
      <c r="X50" t="s">
        <v>260</v>
      </c>
      <c r="Y50" t="s">
        <v>261</v>
      </c>
      <c r="Z50" t="s">
        <v>262</v>
      </c>
      <c r="AA50" t="s">
        <v>263</v>
      </c>
      <c r="AB50" t="s">
        <v>264</v>
      </c>
      <c r="AC50" t="s">
        <v>265</v>
      </c>
      <c r="AD50" t="s">
        <v>115</v>
      </c>
      <c r="AE50" t="s">
        <v>116</v>
      </c>
      <c r="AF50">
        <v>0</v>
      </c>
      <c r="AG50" t="s">
        <v>117</v>
      </c>
    </row>
    <row r="51" spans="1:33" x14ac:dyDescent="0.25">
      <c r="A51" t="s">
        <v>275</v>
      </c>
      <c r="C51" t="s">
        <v>121</v>
      </c>
      <c r="D51" t="s">
        <v>122</v>
      </c>
      <c r="E51" t="s">
        <v>70</v>
      </c>
      <c r="F51" t="s">
        <v>115</v>
      </c>
      <c r="G51" t="s">
        <v>116</v>
      </c>
      <c r="H51">
        <v>0</v>
      </c>
      <c r="I51" t="s">
        <v>117</v>
      </c>
      <c r="J51" t="s">
        <v>203</v>
      </c>
      <c r="K51" t="s">
        <v>202</v>
      </c>
      <c r="L51" t="s">
        <v>205</v>
      </c>
      <c r="M51" t="s">
        <v>204</v>
      </c>
      <c r="N51" t="s">
        <v>335</v>
      </c>
      <c r="O51" t="s">
        <v>340</v>
      </c>
      <c r="P51" t="s">
        <v>360</v>
      </c>
      <c r="Q51" t="s">
        <v>369</v>
      </c>
      <c r="R51" s="14"/>
      <c r="T51" t="s">
        <v>118</v>
      </c>
      <c r="U51" t="s">
        <v>119</v>
      </c>
      <c r="V51" t="s">
        <v>120</v>
      </c>
      <c r="W51" t="s">
        <v>259</v>
      </c>
      <c r="X51" t="s">
        <v>260</v>
      </c>
      <c r="Y51" t="s">
        <v>261</v>
      </c>
      <c r="Z51" t="s">
        <v>262</v>
      </c>
      <c r="AA51" t="s">
        <v>263</v>
      </c>
      <c r="AB51" t="s">
        <v>264</v>
      </c>
      <c r="AC51" t="s">
        <v>265</v>
      </c>
      <c r="AD51" t="s">
        <v>115</v>
      </c>
      <c r="AE51" t="s">
        <v>116</v>
      </c>
      <c r="AF51">
        <v>0</v>
      </c>
      <c r="AG51" t="s">
        <v>117</v>
      </c>
    </row>
    <row r="52" spans="1:33" x14ac:dyDescent="0.25">
      <c r="A52" t="s">
        <v>276</v>
      </c>
      <c r="C52" t="s">
        <v>81</v>
      </c>
      <c r="D52" t="s">
        <v>114</v>
      </c>
      <c r="E52" t="s">
        <v>70</v>
      </c>
      <c r="F52" t="s">
        <v>115</v>
      </c>
      <c r="G52" t="s">
        <v>116</v>
      </c>
      <c r="H52">
        <v>0</v>
      </c>
      <c r="I52" t="s">
        <v>117</v>
      </c>
      <c r="J52" t="s">
        <v>207</v>
      </c>
      <c r="K52" t="s">
        <v>206</v>
      </c>
      <c r="L52" t="s">
        <v>209</v>
      </c>
      <c r="M52" t="s">
        <v>208</v>
      </c>
      <c r="N52" t="s">
        <v>336</v>
      </c>
      <c r="O52" t="s">
        <v>341</v>
      </c>
      <c r="P52" t="s">
        <v>361</v>
      </c>
      <c r="Q52" t="s">
        <v>370</v>
      </c>
      <c r="R52" s="14"/>
      <c r="T52" t="s">
        <v>118</v>
      </c>
      <c r="U52" t="s">
        <v>119</v>
      </c>
      <c r="V52" t="s">
        <v>120</v>
      </c>
      <c r="W52" t="s">
        <v>259</v>
      </c>
      <c r="X52" t="s">
        <v>260</v>
      </c>
      <c r="Y52" t="s">
        <v>261</v>
      </c>
      <c r="Z52" t="s">
        <v>262</v>
      </c>
      <c r="AA52" t="s">
        <v>263</v>
      </c>
      <c r="AB52" t="s">
        <v>264</v>
      </c>
      <c r="AC52" t="s">
        <v>265</v>
      </c>
      <c r="AD52" t="s">
        <v>115</v>
      </c>
      <c r="AE52" t="s">
        <v>116</v>
      </c>
      <c r="AF52">
        <v>0</v>
      </c>
      <c r="AG52" t="s">
        <v>117</v>
      </c>
    </row>
    <row r="53" spans="1:33" x14ac:dyDescent="0.25">
      <c r="A53" t="s">
        <v>277</v>
      </c>
      <c r="C53" t="s">
        <v>121</v>
      </c>
      <c r="D53" t="s">
        <v>122</v>
      </c>
      <c r="E53" t="s">
        <v>70</v>
      </c>
      <c r="F53" t="s">
        <v>115</v>
      </c>
      <c r="G53" t="s">
        <v>116</v>
      </c>
      <c r="H53">
        <v>0</v>
      </c>
      <c r="I53" t="s">
        <v>117</v>
      </c>
      <c r="J53" t="s">
        <v>207</v>
      </c>
      <c r="K53" t="s">
        <v>206</v>
      </c>
      <c r="L53" t="s">
        <v>209</v>
      </c>
      <c r="M53" t="s">
        <v>208</v>
      </c>
      <c r="N53" t="s">
        <v>336</v>
      </c>
      <c r="O53" t="s">
        <v>341</v>
      </c>
      <c r="P53" t="s">
        <v>361</v>
      </c>
      <c r="Q53" t="s">
        <v>370</v>
      </c>
      <c r="R53" s="14"/>
      <c r="T53" t="s">
        <v>118</v>
      </c>
      <c r="U53" t="s">
        <v>119</v>
      </c>
      <c r="V53" t="s">
        <v>120</v>
      </c>
      <c r="W53" t="s">
        <v>259</v>
      </c>
      <c r="X53" t="s">
        <v>260</v>
      </c>
      <c r="Y53" t="s">
        <v>261</v>
      </c>
      <c r="Z53" t="s">
        <v>262</v>
      </c>
      <c r="AA53" t="s">
        <v>263</v>
      </c>
      <c r="AB53" t="s">
        <v>264</v>
      </c>
      <c r="AC53" t="s">
        <v>265</v>
      </c>
      <c r="AD53" t="s">
        <v>115</v>
      </c>
      <c r="AE53" t="s">
        <v>116</v>
      </c>
      <c r="AF53">
        <v>0</v>
      </c>
      <c r="AG53" t="s">
        <v>117</v>
      </c>
    </row>
    <row r="54" spans="1:33" x14ac:dyDescent="0.25">
      <c r="A54" t="s">
        <v>278</v>
      </c>
      <c r="C54" t="s">
        <v>81</v>
      </c>
      <c r="D54" t="s">
        <v>114</v>
      </c>
      <c r="E54" t="s">
        <v>70</v>
      </c>
      <c r="F54" t="s">
        <v>115</v>
      </c>
      <c r="G54" t="s">
        <v>116</v>
      </c>
      <c r="H54">
        <v>0</v>
      </c>
      <c r="I54" t="s">
        <v>117</v>
      </c>
      <c r="J54" t="s">
        <v>211</v>
      </c>
      <c r="K54" t="s">
        <v>210</v>
      </c>
      <c r="L54" t="s">
        <v>213</v>
      </c>
      <c r="M54" t="s">
        <v>212</v>
      </c>
      <c r="N54" t="s">
        <v>352</v>
      </c>
      <c r="O54" t="s">
        <v>342</v>
      </c>
      <c r="P54" t="s">
        <v>362</v>
      </c>
      <c r="Q54" t="s">
        <v>371</v>
      </c>
      <c r="R54" t="s">
        <v>379</v>
      </c>
      <c r="T54" t="s">
        <v>118</v>
      </c>
      <c r="U54" t="s">
        <v>119</v>
      </c>
      <c r="V54" t="s">
        <v>120</v>
      </c>
      <c r="W54" t="s">
        <v>259</v>
      </c>
      <c r="X54" t="s">
        <v>260</v>
      </c>
      <c r="Y54" t="s">
        <v>261</v>
      </c>
      <c r="Z54" t="s">
        <v>262</v>
      </c>
      <c r="AA54" t="s">
        <v>263</v>
      </c>
      <c r="AB54" t="s">
        <v>264</v>
      </c>
      <c r="AC54" t="s">
        <v>265</v>
      </c>
      <c r="AD54" t="s">
        <v>115</v>
      </c>
      <c r="AE54" t="s">
        <v>116</v>
      </c>
      <c r="AF54">
        <v>0</v>
      </c>
      <c r="AG54" t="s">
        <v>117</v>
      </c>
    </row>
    <row r="55" spans="1:33" x14ac:dyDescent="0.25">
      <c r="A55" t="s">
        <v>279</v>
      </c>
      <c r="C55" t="s">
        <v>121</v>
      </c>
      <c r="D55" t="s">
        <v>122</v>
      </c>
      <c r="E55" t="s">
        <v>70</v>
      </c>
      <c r="F55" t="s">
        <v>115</v>
      </c>
      <c r="G55" t="s">
        <v>116</v>
      </c>
      <c r="H55">
        <v>0</v>
      </c>
      <c r="I55" t="s">
        <v>117</v>
      </c>
      <c r="J55" t="s">
        <v>211</v>
      </c>
      <c r="K55" t="s">
        <v>210</v>
      </c>
      <c r="L55" t="s">
        <v>213</v>
      </c>
      <c r="M55" t="s">
        <v>212</v>
      </c>
      <c r="N55" t="s">
        <v>352</v>
      </c>
      <c r="O55" t="s">
        <v>342</v>
      </c>
      <c r="P55" t="s">
        <v>362</v>
      </c>
      <c r="Q55" t="s">
        <v>371</v>
      </c>
      <c r="R55" t="s">
        <v>379</v>
      </c>
      <c r="T55" t="s">
        <v>118</v>
      </c>
      <c r="U55" t="s">
        <v>119</v>
      </c>
      <c r="V55" t="s">
        <v>120</v>
      </c>
      <c r="W55" t="s">
        <v>259</v>
      </c>
      <c r="X55" t="s">
        <v>260</v>
      </c>
      <c r="Y55" t="s">
        <v>261</v>
      </c>
      <c r="Z55" t="s">
        <v>262</v>
      </c>
      <c r="AA55" t="s">
        <v>263</v>
      </c>
      <c r="AB55" t="s">
        <v>264</v>
      </c>
      <c r="AC55" t="s">
        <v>265</v>
      </c>
      <c r="AD55" t="s">
        <v>115</v>
      </c>
      <c r="AE55" t="s">
        <v>116</v>
      </c>
      <c r="AF55">
        <v>0</v>
      </c>
      <c r="AG55" t="s">
        <v>117</v>
      </c>
    </row>
    <row r="56" spans="1:33" x14ac:dyDescent="0.25">
      <c r="A56" t="s">
        <v>280</v>
      </c>
      <c r="C56" t="s">
        <v>81</v>
      </c>
      <c r="D56" t="s">
        <v>114</v>
      </c>
      <c r="E56" t="s">
        <v>70</v>
      </c>
      <c r="F56" t="s">
        <v>115</v>
      </c>
      <c r="G56" t="s">
        <v>116</v>
      </c>
      <c r="H56">
        <v>0</v>
      </c>
      <c r="I56" t="s">
        <v>117</v>
      </c>
      <c r="J56" t="s">
        <v>215</v>
      </c>
      <c r="K56" t="s">
        <v>214</v>
      </c>
      <c r="L56" t="s">
        <v>217</v>
      </c>
      <c r="M56" t="s">
        <v>216</v>
      </c>
      <c r="N56" t="s">
        <v>353</v>
      </c>
      <c r="O56" t="s">
        <v>343</v>
      </c>
      <c r="P56" t="s">
        <v>377</v>
      </c>
      <c r="Q56" t="s">
        <v>378</v>
      </c>
      <c r="R56" s="14"/>
      <c r="T56" t="s">
        <v>118</v>
      </c>
      <c r="U56" t="s">
        <v>119</v>
      </c>
      <c r="V56" t="s">
        <v>120</v>
      </c>
      <c r="W56" t="s">
        <v>259</v>
      </c>
      <c r="X56" t="s">
        <v>260</v>
      </c>
      <c r="Y56" t="s">
        <v>261</v>
      </c>
      <c r="Z56" t="s">
        <v>262</v>
      </c>
      <c r="AA56" t="s">
        <v>263</v>
      </c>
      <c r="AB56" t="s">
        <v>264</v>
      </c>
      <c r="AC56" t="s">
        <v>265</v>
      </c>
      <c r="AD56" t="s">
        <v>115</v>
      </c>
      <c r="AE56" t="s">
        <v>116</v>
      </c>
      <c r="AF56">
        <v>0</v>
      </c>
      <c r="AG56" t="s">
        <v>117</v>
      </c>
    </row>
    <row r="57" spans="1:33" x14ac:dyDescent="0.25">
      <c r="A57" t="s">
        <v>281</v>
      </c>
      <c r="C57" t="s">
        <v>121</v>
      </c>
      <c r="D57" t="s">
        <v>122</v>
      </c>
      <c r="E57" t="s">
        <v>70</v>
      </c>
      <c r="F57" t="s">
        <v>115</v>
      </c>
      <c r="G57" t="s">
        <v>116</v>
      </c>
      <c r="H57">
        <v>0</v>
      </c>
      <c r="I57" t="s">
        <v>117</v>
      </c>
      <c r="J57" t="s">
        <v>215</v>
      </c>
      <c r="K57" t="s">
        <v>214</v>
      </c>
      <c r="L57" t="s">
        <v>217</v>
      </c>
      <c r="M57" t="s">
        <v>216</v>
      </c>
      <c r="N57" t="s">
        <v>353</v>
      </c>
      <c r="O57" t="s">
        <v>343</v>
      </c>
      <c r="P57" t="s">
        <v>377</v>
      </c>
      <c r="Q57" t="s">
        <v>378</v>
      </c>
      <c r="R57" s="14"/>
      <c r="T57" t="s">
        <v>118</v>
      </c>
      <c r="U57" t="s">
        <v>119</v>
      </c>
      <c r="V57" t="s">
        <v>120</v>
      </c>
      <c r="W57" t="s">
        <v>259</v>
      </c>
      <c r="X57" t="s">
        <v>260</v>
      </c>
      <c r="Y57" t="s">
        <v>261</v>
      </c>
      <c r="Z57" t="s">
        <v>262</v>
      </c>
      <c r="AA57" t="s">
        <v>263</v>
      </c>
      <c r="AB57" t="s">
        <v>264</v>
      </c>
      <c r="AC57" t="s">
        <v>265</v>
      </c>
      <c r="AD57" t="s">
        <v>115</v>
      </c>
      <c r="AE57" t="s">
        <v>116</v>
      </c>
      <c r="AF57">
        <v>0</v>
      </c>
      <c r="AG57" t="s">
        <v>117</v>
      </c>
    </row>
    <row r="58" spans="1:33" x14ac:dyDescent="0.25">
      <c r="A58" t="s">
        <v>282</v>
      </c>
      <c r="C58" t="s">
        <v>81</v>
      </c>
      <c r="D58" t="s">
        <v>114</v>
      </c>
      <c r="E58" t="s">
        <v>70</v>
      </c>
      <c r="F58" t="s">
        <v>115</v>
      </c>
      <c r="G58" t="s">
        <v>116</v>
      </c>
      <c r="H58">
        <v>0</v>
      </c>
      <c r="I58" t="s">
        <v>117</v>
      </c>
      <c r="J58" t="s">
        <v>219</v>
      </c>
      <c r="K58" t="s">
        <v>218</v>
      </c>
      <c r="L58" t="s">
        <v>221</v>
      </c>
      <c r="M58" t="s">
        <v>220</v>
      </c>
      <c r="N58" t="s">
        <v>337</v>
      </c>
      <c r="O58" t="s">
        <v>344</v>
      </c>
      <c r="P58" t="s">
        <v>363</v>
      </c>
      <c r="Q58" t="s">
        <v>372</v>
      </c>
      <c r="R58" s="14"/>
      <c r="T58" t="s">
        <v>118</v>
      </c>
      <c r="U58" t="s">
        <v>119</v>
      </c>
      <c r="V58" t="s">
        <v>120</v>
      </c>
      <c r="W58" t="s">
        <v>259</v>
      </c>
      <c r="X58" t="s">
        <v>260</v>
      </c>
      <c r="Y58" t="s">
        <v>261</v>
      </c>
      <c r="Z58" t="s">
        <v>262</v>
      </c>
      <c r="AA58" t="s">
        <v>263</v>
      </c>
      <c r="AB58" t="s">
        <v>264</v>
      </c>
      <c r="AC58" t="s">
        <v>265</v>
      </c>
      <c r="AD58" t="s">
        <v>115</v>
      </c>
      <c r="AE58" t="s">
        <v>116</v>
      </c>
      <c r="AF58">
        <v>0</v>
      </c>
      <c r="AG58" t="s">
        <v>117</v>
      </c>
    </row>
    <row r="59" spans="1:33" x14ac:dyDescent="0.25">
      <c r="A59" t="s">
        <v>283</v>
      </c>
      <c r="C59" t="s">
        <v>121</v>
      </c>
      <c r="D59" t="s">
        <v>122</v>
      </c>
      <c r="E59" t="s">
        <v>70</v>
      </c>
      <c r="F59" t="s">
        <v>115</v>
      </c>
      <c r="G59" t="s">
        <v>116</v>
      </c>
      <c r="H59">
        <v>0</v>
      </c>
      <c r="I59" t="s">
        <v>117</v>
      </c>
      <c r="J59" t="s">
        <v>219</v>
      </c>
      <c r="K59" t="s">
        <v>218</v>
      </c>
      <c r="L59" t="s">
        <v>221</v>
      </c>
      <c r="M59" t="s">
        <v>220</v>
      </c>
      <c r="N59" t="s">
        <v>337</v>
      </c>
      <c r="O59" t="s">
        <v>344</v>
      </c>
      <c r="P59" t="s">
        <v>363</v>
      </c>
      <c r="Q59" t="s">
        <v>372</v>
      </c>
      <c r="R59" s="14"/>
      <c r="T59" t="s">
        <v>118</v>
      </c>
      <c r="U59" t="s">
        <v>119</v>
      </c>
      <c r="V59" t="s">
        <v>120</v>
      </c>
      <c r="W59" t="s">
        <v>259</v>
      </c>
      <c r="X59" t="s">
        <v>260</v>
      </c>
      <c r="Y59" t="s">
        <v>261</v>
      </c>
      <c r="Z59" t="s">
        <v>262</v>
      </c>
      <c r="AA59" t="s">
        <v>263</v>
      </c>
      <c r="AB59" t="s">
        <v>264</v>
      </c>
      <c r="AC59" t="s">
        <v>265</v>
      </c>
      <c r="AD59" t="s">
        <v>115</v>
      </c>
      <c r="AE59" t="s">
        <v>116</v>
      </c>
      <c r="AF59">
        <v>0</v>
      </c>
      <c r="AG59" t="s">
        <v>117</v>
      </c>
    </row>
    <row r="60" spans="1:33" x14ac:dyDescent="0.25">
      <c r="A60" t="s">
        <v>284</v>
      </c>
      <c r="C60" t="s">
        <v>81</v>
      </c>
      <c r="D60" t="s">
        <v>114</v>
      </c>
      <c r="E60" t="s">
        <v>70</v>
      </c>
      <c r="F60" t="s">
        <v>115</v>
      </c>
      <c r="G60" t="s">
        <v>116</v>
      </c>
      <c r="H60">
        <v>0</v>
      </c>
      <c r="I60" t="s">
        <v>117</v>
      </c>
      <c r="J60" t="s">
        <v>223</v>
      </c>
      <c r="K60" t="s">
        <v>222</v>
      </c>
      <c r="L60" t="s">
        <v>225</v>
      </c>
      <c r="M60" t="s">
        <v>224</v>
      </c>
      <c r="N60" t="s">
        <v>338</v>
      </c>
      <c r="O60" t="s">
        <v>345</v>
      </c>
      <c r="P60" t="s">
        <v>364</v>
      </c>
      <c r="Q60" t="s">
        <v>373</v>
      </c>
      <c r="R60" s="14"/>
      <c r="T60" t="s">
        <v>118</v>
      </c>
      <c r="U60" t="s">
        <v>119</v>
      </c>
      <c r="V60" t="s">
        <v>120</v>
      </c>
      <c r="W60" t="s">
        <v>259</v>
      </c>
      <c r="X60" t="s">
        <v>260</v>
      </c>
      <c r="Y60" t="s">
        <v>261</v>
      </c>
      <c r="Z60" t="s">
        <v>262</v>
      </c>
      <c r="AA60" t="s">
        <v>263</v>
      </c>
      <c r="AB60" t="s">
        <v>264</v>
      </c>
      <c r="AC60" t="s">
        <v>265</v>
      </c>
      <c r="AD60" t="s">
        <v>115</v>
      </c>
      <c r="AE60" t="s">
        <v>116</v>
      </c>
      <c r="AF60">
        <v>0</v>
      </c>
      <c r="AG60" t="s">
        <v>117</v>
      </c>
    </row>
    <row r="61" spans="1:33" x14ac:dyDescent="0.25">
      <c r="A61" t="s">
        <v>285</v>
      </c>
      <c r="C61" t="s">
        <v>121</v>
      </c>
      <c r="D61" t="s">
        <v>122</v>
      </c>
      <c r="E61" t="s">
        <v>70</v>
      </c>
      <c r="F61" t="s">
        <v>115</v>
      </c>
      <c r="G61" t="s">
        <v>116</v>
      </c>
      <c r="H61">
        <v>0</v>
      </c>
      <c r="I61" t="s">
        <v>117</v>
      </c>
      <c r="J61" t="s">
        <v>223</v>
      </c>
      <c r="K61" t="s">
        <v>222</v>
      </c>
      <c r="L61" t="s">
        <v>225</v>
      </c>
      <c r="M61" t="s">
        <v>224</v>
      </c>
      <c r="N61" t="s">
        <v>338</v>
      </c>
      <c r="O61" t="s">
        <v>345</v>
      </c>
      <c r="P61" t="s">
        <v>364</v>
      </c>
      <c r="Q61" t="s">
        <v>373</v>
      </c>
      <c r="R61" s="14"/>
      <c r="T61" t="s">
        <v>118</v>
      </c>
      <c r="U61" t="s">
        <v>119</v>
      </c>
      <c r="V61" t="s">
        <v>120</v>
      </c>
      <c r="W61" t="s">
        <v>259</v>
      </c>
      <c r="X61" t="s">
        <v>260</v>
      </c>
      <c r="Y61" t="s">
        <v>261</v>
      </c>
      <c r="Z61" t="s">
        <v>262</v>
      </c>
      <c r="AA61" t="s">
        <v>263</v>
      </c>
      <c r="AB61" t="s">
        <v>264</v>
      </c>
      <c r="AC61" t="s">
        <v>265</v>
      </c>
      <c r="AD61" t="s">
        <v>115</v>
      </c>
      <c r="AE61" t="s">
        <v>116</v>
      </c>
      <c r="AF61">
        <v>0</v>
      </c>
      <c r="AG61" t="s">
        <v>117</v>
      </c>
    </row>
    <row r="62" spans="1:33" x14ac:dyDescent="0.25">
      <c r="A62" t="s">
        <v>320</v>
      </c>
      <c r="C62" t="s">
        <v>81</v>
      </c>
      <c r="D62" t="s">
        <v>114</v>
      </c>
      <c r="E62" t="s">
        <v>70</v>
      </c>
      <c r="F62" t="s">
        <v>115</v>
      </c>
      <c r="G62" t="s">
        <v>116</v>
      </c>
      <c r="H62">
        <v>0</v>
      </c>
      <c r="I62" t="s">
        <v>117</v>
      </c>
      <c r="J62" t="s">
        <v>354</v>
      </c>
      <c r="K62" t="s">
        <v>346</v>
      </c>
      <c r="L62" t="s">
        <v>365</v>
      </c>
      <c r="M62" t="s">
        <v>374</v>
      </c>
      <c r="N62" s="14"/>
      <c r="O62" s="14"/>
      <c r="P62" s="14"/>
      <c r="Q62" s="14"/>
      <c r="R62" s="14"/>
      <c r="T62" t="s">
        <v>118</v>
      </c>
      <c r="U62" t="s">
        <v>119</v>
      </c>
      <c r="V62" t="s">
        <v>120</v>
      </c>
      <c r="W62" t="s">
        <v>259</v>
      </c>
      <c r="X62" t="s">
        <v>260</v>
      </c>
      <c r="Y62" t="s">
        <v>261</v>
      </c>
      <c r="Z62" t="s">
        <v>262</v>
      </c>
      <c r="AA62" t="s">
        <v>263</v>
      </c>
      <c r="AB62" t="s">
        <v>264</v>
      </c>
      <c r="AC62" t="s">
        <v>265</v>
      </c>
      <c r="AD62" t="s">
        <v>115</v>
      </c>
      <c r="AE62" t="s">
        <v>116</v>
      </c>
      <c r="AF62">
        <v>0</v>
      </c>
      <c r="AG62" t="s">
        <v>117</v>
      </c>
    </row>
    <row r="63" spans="1:33" x14ac:dyDescent="0.25">
      <c r="A63" t="s">
        <v>323</v>
      </c>
      <c r="C63" t="s">
        <v>121</v>
      </c>
      <c r="D63" t="s">
        <v>122</v>
      </c>
      <c r="E63" t="s">
        <v>70</v>
      </c>
      <c r="F63" t="s">
        <v>115</v>
      </c>
      <c r="G63" t="s">
        <v>116</v>
      </c>
      <c r="H63">
        <v>0</v>
      </c>
      <c r="I63" t="s">
        <v>117</v>
      </c>
      <c r="J63" t="s">
        <v>354</v>
      </c>
      <c r="K63" t="s">
        <v>346</v>
      </c>
      <c r="L63" t="s">
        <v>365</v>
      </c>
      <c r="M63" t="s">
        <v>374</v>
      </c>
      <c r="N63" s="14"/>
      <c r="P63" s="14"/>
      <c r="Q63" s="14"/>
      <c r="R63" s="14"/>
      <c r="T63" t="s">
        <v>118</v>
      </c>
      <c r="U63" t="s">
        <v>119</v>
      </c>
      <c r="V63" t="s">
        <v>120</v>
      </c>
      <c r="W63" t="s">
        <v>259</v>
      </c>
      <c r="X63" t="s">
        <v>260</v>
      </c>
      <c r="Y63" t="s">
        <v>261</v>
      </c>
      <c r="Z63" t="s">
        <v>262</v>
      </c>
      <c r="AA63" t="s">
        <v>263</v>
      </c>
      <c r="AB63" t="s">
        <v>264</v>
      </c>
      <c r="AC63" t="s">
        <v>265</v>
      </c>
      <c r="AD63" t="s">
        <v>115</v>
      </c>
      <c r="AE63" t="s">
        <v>116</v>
      </c>
      <c r="AF63">
        <v>0</v>
      </c>
      <c r="AG63" t="s">
        <v>117</v>
      </c>
    </row>
    <row r="64" spans="1:33" x14ac:dyDescent="0.25">
      <c r="A64" t="s">
        <v>322</v>
      </c>
      <c r="C64" t="s">
        <v>81</v>
      </c>
      <c r="D64" t="s">
        <v>114</v>
      </c>
      <c r="E64" t="s">
        <v>70</v>
      </c>
      <c r="F64" t="s">
        <v>115</v>
      </c>
      <c r="G64" t="s">
        <v>116</v>
      </c>
      <c r="H64">
        <v>0</v>
      </c>
      <c r="I64" t="s">
        <v>117</v>
      </c>
      <c r="J64" t="s">
        <v>226</v>
      </c>
      <c r="K64" t="s">
        <v>347</v>
      </c>
      <c r="L64" t="s">
        <v>380</v>
      </c>
      <c r="M64" t="s">
        <v>375</v>
      </c>
      <c r="N64" t="s">
        <v>348</v>
      </c>
      <c r="O64" s="14"/>
      <c r="P64" s="14"/>
      <c r="Q64" s="14"/>
      <c r="R64" s="14"/>
      <c r="T64" t="s">
        <v>118</v>
      </c>
      <c r="U64" t="s">
        <v>119</v>
      </c>
      <c r="V64" t="s">
        <v>120</v>
      </c>
      <c r="W64" t="s">
        <v>259</v>
      </c>
      <c r="X64" t="s">
        <v>260</v>
      </c>
      <c r="Y64" t="s">
        <v>261</v>
      </c>
      <c r="Z64" t="s">
        <v>262</v>
      </c>
      <c r="AA64" t="s">
        <v>263</v>
      </c>
      <c r="AB64" t="s">
        <v>264</v>
      </c>
      <c r="AC64" t="s">
        <v>265</v>
      </c>
      <c r="AD64" t="s">
        <v>115</v>
      </c>
      <c r="AE64" t="s">
        <v>116</v>
      </c>
      <c r="AF64">
        <v>0</v>
      </c>
      <c r="AG64" t="s">
        <v>117</v>
      </c>
    </row>
    <row r="65" spans="1:33" x14ac:dyDescent="0.25">
      <c r="A65" t="s">
        <v>321</v>
      </c>
      <c r="C65" t="s">
        <v>121</v>
      </c>
      <c r="D65" t="s">
        <v>122</v>
      </c>
      <c r="E65" t="s">
        <v>70</v>
      </c>
      <c r="F65" t="s">
        <v>115</v>
      </c>
      <c r="G65" t="s">
        <v>116</v>
      </c>
      <c r="H65">
        <v>0</v>
      </c>
      <c r="I65" t="s">
        <v>117</v>
      </c>
      <c r="J65" t="s">
        <v>226</v>
      </c>
      <c r="K65" t="s">
        <v>347</v>
      </c>
      <c r="L65" t="s">
        <v>380</v>
      </c>
      <c r="M65" t="s">
        <v>375</v>
      </c>
      <c r="N65" t="s">
        <v>348</v>
      </c>
      <c r="O65" s="14"/>
      <c r="P65" s="14"/>
      <c r="T65" t="s">
        <v>118</v>
      </c>
      <c r="U65" t="s">
        <v>119</v>
      </c>
      <c r="V65" t="s">
        <v>120</v>
      </c>
      <c r="W65" t="s">
        <v>259</v>
      </c>
      <c r="X65" t="s">
        <v>260</v>
      </c>
      <c r="Y65" t="s">
        <v>261</v>
      </c>
      <c r="Z65" t="s">
        <v>262</v>
      </c>
      <c r="AA65" t="s">
        <v>263</v>
      </c>
      <c r="AB65" t="s">
        <v>264</v>
      </c>
      <c r="AC65" t="s">
        <v>265</v>
      </c>
      <c r="AD65" t="s">
        <v>115</v>
      </c>
      <c r="AE65" t="s">
        <v>116</v>
      </c>
      <c r="AF65">
        <v>0</v>
      </c>
      <c r="AG65" t="s">
        <v>117</v>
      </c>
    </row>
    <row r="66" spans="1:33" x14ac:dyDescent="0.25">
      <c r="A66" t="s">
        <v>324</v>
      </c>
      <c r="C66" t="s">
        <v>81</v>
      </c>
      <c r="D66" t="s">
        <v>114</v>
      </c>
      <c r="E66" t="s">
        <v>70</v>
      </c>
      <c r="F66" t="s">
        <v>115</v>
      </c>
      <c r="G66" t="s">
        <v>116</v>
      </c>
      <c r="H66">
        <v>0</v>
      </c>
      <c r="I66" t="s">
        <v>117</v>
      </c>
      <c r="J66" t="s">
        <v>355</v>
      </c>
      <c r="K66" t="s">
        <v>349</v>
      </c>
      <c r="L66" t="s">
        <v>366</v>
      </c>
      <c r="M66" t="s">
        <v>376</v>
      </c>
      <c r="N66" s="14"/>
      <c r="T66" t="s">
        <v>118</v>
      </c>
      <c r="U66" t="s">
        <v>119</v>
      </c>
      <c r="V66" t="s">
        <v>120</v>
      </c>
      <c r="W66" t="s">
        <v>259</v>
      </c>
      <c r="X66" t="s">
        <v>260</v>
      </c>
      <c r="Y66" t="s">
        <v>261</v>
      </c>
      <c r="Z66" t="s">
        <v>262</v>
      </c>
      <c r="AA66" t="s">
        <v>263</v>
      </c>
      <c r="AB66" t="s">
        <v>264</v>
      </c>
      <c r="AC66" t="s">
        <v>265</v>
      </c>
      <c r="AD66" t="s">
        <v>115</v>
      </c>
      <c r="AE66" t="s">
        <v>116</v>
      </c>
      <c r="AF66">
        <v>0</v>
      </c>
      <c r="AG66" t="s">
        <v>117</v>
      </c>
    </row>
    <row r="67" spans="1:33" x14ac:dyDescent="0.25">
      <c r="A67" t="s">
        <v>325</v>
      </c>
      <c r="C67" t="s">
        <v>121</v>
      </c>
      <c r="D67" t="s">
        <v>122</v>
      </c>
      <c r="E67" t="s">
        <v>70</v>
      </c>
      <c r="F67" t="s">
        <v>115</v>
      </c>
      <c r="G67" t="s">
        <v>116</v>
      </c>
      <c r="H67">
        <v>0</v>
      </c>
      <c r="I67" t="s">
        <v>117</v>
      </c>
      <c r="J67" t="s">
        <v>355</v>
      </c>
      <c r="K67" t="s">
        <v>349</v>
      </c>
      <c r="L67" t="s">
        <v>366</v>
      </c>
      <c r="M67" t="s">
        <v>376</v>
      </c>
      <c r="N67" s="14"/>
      <c r="T67" t="s">
        <v>118</v>
      </c>
      <c r="U67" t="s">
        <v>119</v>
      </c>
      <c r="V67" t="s">
        <v>120</v>
      </c>
      <c r="W67" t="s">
        <v>259</v>
      </c>
      <c r="X67" t="s">
        <v>260</v>
      </c>
      <c r="Y67" t="s">
        <v>261</v>
      </c>
      <c r="Z67" t="s">
        <v>262</v>
      </c>
      <c r="AA67" t="s">
        <v>263</v>
      </c>
      <c r="AB67" t="s">
        <v>264</v>
      </c>
      <c r="AC67" t="s">
        <v>265</v>
      </c>
      <c r="AD67" t="s">
        <v>115</v>
      </c>
      <c r="AE67" t="s">
        <v>116</v>
      </c>
      <c r="AF67">
        <v>0</v>
      </c>
      <c r="AG67" t="s">
        <v>117</v>
      </c>
    </row>
  </sheetData>
  <conditionalFormatting sqref="J64:J65">
    <cfRule type="duplicateValues" dxfId="77" priority="35"/>
    <cfRule type="duplicateValues" dxfId="76" priority="36"/>
  </conditionalFormatting>
  <conditionalFormatting sqref="J20:K20 J24:K24 J26:J27 J32:J35">
    <cfRule type="duplicateValues" dxfId="75" priority="1243"/>
  </conditionalFormatting>
  <conditionalFormatting sqref="J21:K21">
    <cfRule type="duplicateValues" dxfId="74" priority="18"/>
  </conditionalFormatting>
  <conditionalFormatting sqref="J25:K25">
    <cfRule type="duplicateValues" dxfId="73" priority="17"/>
  </conditionalFormatting>
  <conditionalFormatting sqref="J5:M5">
    <cfRule type="duplicateValues" dxfId="72" priority="32"/>
  </conditionalFormatting>
  <conditionalFormatting sqref="J8:M8 J10:M10 J12:M12 J14:M14 J16:M16 J18:M18 L6:N7 J6:J7 J38:J39">
    <cfRule type="duplicateValues" dxfId="71" priority="40"/>
  </conditionalFormatting>
  <conditionalFormatting sqref="J9:M9">
    <cfRule type="duplicateValues" dxfId="70" priority="29"/>
    <cfRule type="duplicateValues" dxfId="69" priority="30"/>
  </conditionalFormatting>
  <conditionalFormatting sqref="J11:M11">
    <cfRule type="duplicateValues" dxfId="68" priority="27"/>
    <cfRule type="duplicateValues" dxfId="67" priority="28"/>
  </conditionalFormatting>
  <conditionalFormatting sqref="J13:M13">
    <cfRule type="duplicateValues" dxfId="66" priority="25"/>
    <cfRule type="duplicateValues" dxfId="65" priority="26"/>
  </conditionalFormatting>
  <conditionalFormatting sqref="J15:M15">
    <cfRule type="duplicateValues" dxfId="64" priority="23"/>
    <cfRule type="duplicateValues" dxfId="63" priority="24"/>
  </conditionalFormatting>
  <conditionalFormatting sqref="J17:M17">
    <cfRule type="duplicateValues" dxfId="62" priority="21"/>
    <cfRule type="duplicateValues" dxfId="61" priority="22"/>
  </conditionalFormatting>
  <conditionalFormatting sqref="J19:M19">
    <cfRule type="duplicateValues" dxfId="60" priority="19"/>
    <cfRule type="duplicateValues" dxfId="59" priority="20"/>
  </conditionalFormatting>
  <conditionalFormatting sqref="J47:M47">
    <cfRule type="duplicateValues" dxfId="58" priority="15"/>
  </conditionalFormatting>
  <conditionalFormatting sqref="J50:M50 J52:M52 J54:M54 J56:M56 J58:M58 J60:M60 R48:R49 L48:M49 J48:J49">
    <cfRule type="duplicateValues" dxfId="57" priority="1304"/>
  </conditionalFormatting>
  <conditionalFormatting sqref="J51:M51">
    <cfRule type="duplicateValues" dxfId="56" priority="2"/>
    <cfRule type="duplicateValues" dxfId="55" priority="3"/>
  </conditionalFormatting>
  <conditionalFormatting sqref="J53:M53">
    <cfRule type="duplicateValues" dxfId="54" priority="4"/>
    <cfRule type="duplicateValues" dxfId="53" priority="5"/>
  </conditionalFormatting>
  <conditionalFormatting sqref="J55:M55">
    <cfRule type="duplicateValues" dxfId="52" priority="6"/>
    <cfRule type="duplicateValues" dxfId="51" priority="7"/>
  </conditionalFormatting>
  <conditionalFormatting sqref="J57:M57">
    <cfRule type="duplicateValues" dxfId="50" priority="8"/>
    <cfRule type="duplicateValues" dxfId="49" priority="9"/>
  </conditionalFormatting>
  <conditionalFormatting sqref="J59:M59">
    <cfRule type="duplicateValues" dxfId="48" priority="10"/>
    <cfRule type="duplicateValues" dxfId="47" priority="11"/>
  </conditionalFormatting>
  <conditionalFormatting sqref="J61:M61">
    <cfRule type="duplicateValues" dxfId="46" priority="12"/>
    <cfRule type="duplicateValues" dxfId="45" priority="13"/>
  </conditionalFormatting>
  <conditionalFormatting sqref="J7:N7">
    <cfRule type="duplicateValues" dxfId="44" priority="31"/>
  </conditionalFormatting>
  <conditionalFormatting sqref="K2:M2 J4:M4 J6:N6 J8:M8 J10:M10 J12:M12 J14:M14 J16:M16 J18:M18 J38:J39">
    <cfRule type="duplicateValues" dxfId="43" priority="41"/>
  </conditionalFormatting>
  <conditionalFormatting sqref="K3:M3">
    <cfRule type="duplicateValues" dxfId="42" priority="33"/>
  </conditionalFormatting>
  <conditionalFormatting sqref="K44:M44 J46:M46 J52:M52 J54:M54 J56:M56 J58:M58 J60:M60 R48:R49 J48:M50">
    <cfRule type="duplicateValues" dxfId="41" priority="1313"/>
  </conditionalFormatting>
  <conditionalFormatting sqref="K45:M45">
    <cfRule type="duplicateValues" dxfId="40" priority="16"/>
  </conditionalFormatting>
  <conditionalFormatting sqref="N46:O46 N50:O50 N58:N61 N52:N53">
    <cfRule type="duplicateValues" dxfId="39" priority="1299"/>
  </conditionalFormatting>
  <conditionalFormatting sqref="N47:O47">
    <cfRule type="duplicateValues" dxfId="38" priority="14"/>
  </conditionalFormatting>
  <conditionalFormatting sqref="N51:O51">
    <cfRule type="duplicateValues" dxfId="37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O53"/>
  <sheetViews>
    <sheetView zoomScaleNormal="100" workbookViewId="0">
      <selection activeCell="A2" sqref="A2:O20"/>
    </sheetView>
  </sheetViews>
  <sheetFormatPr defaultRowHeight="15" x14ac:dyDescent="0.25"/>
  <cols>
    <col min="1" max="1" width="39.85546875" style="1" customWidth="1"/>
    <col min="2" max="2" width="16" style="1" customWidth="1"/>
    <col min="3" max="3" width="27.28515625" style="1" customWidth="1"/>
    <col min="4" max="4" width="51" style="1" customWidth="1"/>
    <col min="5" max="5" width="33.85546875" style="1" customWidth="1"/>
    <col min="6" max="9" width="16" style="1" hidden="1" customWidth="1"/>
    <col min="10" max="10" width="26.28515625" style="1" hidden="1" customWidth="1"/>
    <col min="11" max="15" width="12.5703125" style="1" customWidth="1"/>
    <col min="16" max="17" width="9.140625" style="1" customWidth="1"/>
    <col min="18" max="16384" width="9.140625" style="1"/>
  </cols>
  <sheetData>
    <row r="1" spans="1:15" x14ac:dyDescent="0.25">
      <c r="A1" s="1" t="s">
        <v>123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</row>
    <row r="2" spans="1:15" x14ac:dyDescent="0.25">
      <c r="A2"/>
      <c r="C2"/>
      <c r="D2"/>
      <c r="E2" s="5"/>
    </row>
    <row r="3" spans="1:15" x14ac:dyDescent="0.25">
      <c r="E3" s="5"/>
    </row>
    <row r="4" spans="1:15" x14ac:dyDescent="0.25">
      <c r="E4" s="5"/>
    </row>
    <row r="5" spans="1:15" x14ac:dyDescent="0.25">
      <c r="E5" s="5"/>
    </row>
    <row r="6" spans="1:15" x14ac:dyDescent="0.25">
      <c r="E6" s="5"/>
    </row>
    <row r="7" spans="1:15" x14ac:dyDescent="0.25">
      <c r="E7" s="5"/>
    </row>
    <row r="8" spans="1:15" x14ac:dyDescent="0.25">
      <c r="E8" s="5"/>
    </row>
    <row r="9" spans="1:15" x14ac:dyDescent="0.25">
      <c r="E9" s="5"/>
    </row>
    <row r="10" spans="1:15" x14ac:dyDescent="0.25">
      <c r="E10" s="5"/>
    </row>
    <row r="11" spans="1:15" x14ac:dyDescent="0.25">
      <c r="E11" s="5"/>
    </row>
    <row r="12" spans="1:15" x14ac:dyDescent="0.25">
      <c r="E12" s="5"/>
    </row>
    <row r="13" spans="1:15" x14ac:dyDescent="0.25">
      <c r="E13" s="5"/>
    </row>
    <row r="14" spans="1:15" x14ac:dyDescent="0.25">
      <c r="E14" s="5"/>
    </row>
    <row r="15" spans="1:15" x14ac:dyDescent="0.25">
      <c r="E15" s="5"/>
    </row>
    <row r="16" spans="1:15" x14ac:dyDescent="0.25">
      <c r="A16" s="8"/>
      <c r="D16" s="8"/>
      <c r="E16" s="5"/>
    </row>
    <row r="17" spans="5:5" x14ac:dyDescent="0.25">
      <c r="E17" s="5"/>
    </row>
    <row r="18" spans="5:5" x14ac:dyDescent="0.25">
      <c r="E18" s="5"/>
    </row>
    <row r="19" spans="5:5" x14ac:dyDescent="0.25">
      <c r="E19" s="5"/>
    </row>
    <row r="20" spans="5:5" x14ac:dyDescent="0.25">
      <c r="E20" s="5"/>
    </row>
    <row r="21" spans="5:5" x14ac:dyDescent="0.25">
      <c r="E21" s="5"/>
    </row>
    <row r="22" spans="5:5" x14ac:dyDescent="0.25">
      <c r="E22" s="5"/>
    </row>
    <row r="23" spans="5:5" x14ac:dyDescent="0.25">
      <c r="E23" s="5"/>
    </row>
    <row r="24" spans="5:5" x14ac:dyDescent="0.25">
      <c r="E24" s="5"/>
    </row>
    <row r="25" spans="5:5" x14ac:dyDescent="0.25">
      <c r="E25" s="5"/>
    </row>
    <row r="26" spans="5:5" x14ac:dyDescent="0.25">
      <c r="E26" s="5"/>
    </row>
    <row r="27" spans="5:5" x14ac:dyDescent="0.25">
      <c r="E27" s="5"/>
    </row>
    <row r="28" spans="5:5" x14ac:dyDescent="0.25">
      <c r="E28" s="5"/>
    </row>
    <row r="29" spans="5:5" x14ac:dyDescent="0.25">
      <c r="E29" s="5"/>
    </row>
    <row r="30" spans="5:5" x14ac:dyDescent="0.25">
      <c r="E30" s="5"/>
    </row>
    <row r="31" spans="5:5" x14ac:dyDescent="0.25">
      <c r="E31" s="5"/>
    </row>
    <row r="32" spans="5:5" x14ac:dyDescent="0.25">
      <c r="E32" s="5"/>
    </row>
    <row r="33" spans="5:5" x14ac:dyDescent="0.25">
      <c r="E33" s="5"/>
    </row>
    <row r="34" spans="5:5" x14ac:dyDescent="0.25">
      <c r="E34" s="5"/>
    </row>
    <row r="35" spans="5:5" x14ac:dyDescent="0.25">
      <c r="E35" s="5"/>
    </row>
    <row r="36" spans="5:5" x14ac:dyDescent="0.25">
      <c r="E36" s="5"/>
    </row>
    <row r="37" spans="5:5" x14ac:dyDescent="0.25">
      <c r="E37" s="5"/>
    </row>
    <row r="38" spans="5:5" x14ac:dyDescent="0.25">
      <c r="E38" s="5"/>
    </row>
    <row r="39" spans="5:5" x14ac:dyDescent="0.25">
      <c r="E39" s="5"/>
    </row>
    <row r="40" spans="5:5" x14ac:dyDescent="0.25">
      <c r="E40" s="5"/>
    </row>
    <row r="41" spans="5:5" x14ac:dyDescent="0.25">
      <c r="E41" s="5"/>
    </row>
    <row r="42" spans="5:5" x14ac:dyDescent="0.25">
      <c r="E42" s="5"/>
    </row>
    <row r="43" spans="5:5" x14ac:dyDescent="0.25">
      <c r="E43" s="5"/>
    </row>
    <row r="44" spans="5:5" x14ac:dyDescent="0.25">
      <c r="E44" s="5"/>
    </row>
    <row r="45" spans="5:5" x14ac:dyDescent="0.25">
      <c r="E45" s="5"/>
    </row>
    <row r="46" spans="5:5" x14ac:dyDescent="0.25">
      <c r="E46" s="5"/>
    </row>
    <row r="47" spans="5:5" x14ac:dyDescent="0.25">
      <c r="E47" s="5"/>
    </row>
    <row r="48" spans="5:5" x14ac:dyDescent="0.25">
      <c r="E48" s="5"/>
    </row>
    <row r="49" spans="5:11" x14ac:dyDescent="0.25">
      <c r="E49" s="5"/>
    </row>
    <row r="50" spans="5:11" x14ac:dyDescent="0.25">
      <c r="K50" s="6"/>
    </row>
    <row r="51" spans="5:11" x14ac:dyDescent="0.25">
      <c r="K51" s="7"/>
    </row>
    <row r="52" spans="5:11" x14ac:dyDescent="0.25">
      <c r="K52" s="6"/>
    </row>
    <row r="53" spans="5:11" x14ac:dyDescent="0.25">
      <c r="K53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O105"/>
  <sheetViews>
    <sheetView workbookViewId="0">
      <selection activeCell="B2" sqref="B2:B51"/>
    </sheetView>
  </sheetViews>
  <sheetFormatPr defaultRowHeight="15" x14ac:dyDescent="0.25"/>
  <cols>
    <col min="1" max="1" width="26.5703125" style="3" bestFit="1" customWidth="1"/>
    <col min="2" max="5" width="20.42578125" style="3" customWidth="1"/>
    <col min="6" max="7" width="20.5703125" style="3" customWidth="1"/>
    <col min="8" max="8" width="21.42578125" style="3" customWidth="1"/>
    <col min="9" max="9" width="21.5703125" style="3" customWidth="1"/>
    <col min="10" max="12" width="16.85546875" style="3" customWidth="1"/>
    <col min="13" max="13" width="23.140625" style="3" customWidth="1"/>
    <col min="14" max="14" width="13.85546875" style="3" customWidth="1"/>
    <col min="15" max="15" width="33.140625" style="3" customWidth="1"/>
    <col min="16" max="17" width="9.140625" style="3" customWidth="1"/>
    <col min="18" max="16384" width="9.140625" style="3"/>
  </cols>
  <sheetData>
    <row r="1" spans="1:15" x14ac:dyDescent="0.25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55</v>
      </c>
      <c r="G1" s="3" t="s">
        <v>128</v>
      </c>
      <c r="H1" s="3" t="s">
        <v>129</v>
      </c>
      <c r="I1" s="3" t="s">
        <v>58</v>
      </c>
      <c r="J1" s="3" t="s">
        <v>130</v>
      </c>
      <c r="K1" s="3" t="s">
        <v>131</v>
      </c>
      <c r="L1" s="3" t="s">
        <v>132</v>
      </c>
      <c r="M1" s="3" t="s">
        <v>133</v>
      </c>
      <c r="N1" s="3" t="s">
        <v>134</v>
      </c>
      <c r="O1" s="3" t="s">
        <v>135</v>
      </c>
    </row>
    <row r="2" spans="1:15" x14ac:dyDescent="0.25">
      <c r="A2" t="s">
        <v>140</v>
      </c>
      <c r="B2" t="s">
        <v>334</v>
      </c>
      <c r="D2"/>
      <c r="H2" s="55"/>
      <c r="L2" s="3">
        <v>14</v>
      </c>
    </row>
    <row r="3" spans="1:15" x14ac:dyDescent="0.25">
      <c r="A3" t="s">
        <v>141</v>
      </c>
      <c r="B3" t="s">
        <v>335</v>
      </c>
      <c r="H3" s="9"/>
    </row>
    <row r="4" spans="1:15" x14ac:dyDescent="0.25">
      <c r="A4" t="s">
        <v>142</v>
      </c>
      <c r="B4" t="s">
        <v>336</v>
      </c>
      <c r="H4" s="9"/>
    </row>
    <row r="5" spans="1:15" x14ac:dyDescent="0.25">
      <c r="A5" t="s">
        <v>143</v>
      </c>
      <c r="B5" t="s">
        <v>337</v>
      </c>
      <c r="H5" s="9"/>
    </row>
    <row r="6" spans="1:15" x14ac:dyDescent="0.25">
      <c r="A6" t="s">
        <v>144</v>
      </c>
      <c r="B6" t="s">
        <v>338</v>
      </c>
      <c r="H6" s="9"/>
    </row>
    <row r="7" spans="1:15" x14ac:dyDescent="0.25">
      <c r="A7" t="s">
        <v>145</v>
      </c>
      <c r="B7" t="s">
        <v>339</v>
      </c>
      <c r="H7" s="9"/>
    </row>
    <row r="8" spans="1:15" x14ac:dyDescent="0.25">
      <c r="A8" t="s">
        <v>146</v>
      </c>
      <c r="B8" t="s">
        <v>340</v>
      </c>
      <c r="H8" s="9"/>
    </row>
    <row r="9" spans="1:15" x14ac:dyDescent="0.25">
      <c r="A9" t="s">
        <v>147</v>
      </c>
      <c r="B9" t="s">
        <v>341</v>
      </c>
      <c r="H9" s="9"/>
    </row>
    <row r="10" spans="1:15" x14ac:dyDescent="0.25">
      <c r="A10" t="s">
        <v>148</v>
      </c>
      <c r="B10" t="s">
        <v>342</v>
      </c>
      <c r="H10" s="9"/>
    </row>
    <row r="11" spans="1:15" x14ac:dyDescent="0.25">
      <c r="A11" t="s">
        <v>149</v>
      </c>
      <c r="B11" t="s">
        <v>343</v>
      </c>
      <c r="H11" s="9"/>
    </row>
    <row r="12" spans="1:15" x14ac:dyDescent="0.25">
      <c r="A12" t="s">
        <v>150</v>
      </c>
      <c r="B12" t="s">
        <v>344</v>
      </c>
      <c r="H12" s="9"/>
    </row>
    <row r="13" spans="1:15" x14ac:dyDescent="0.25">
      <c r="A13" t="s">
        <v>151</v>
      </c>
      <c r="B13" t="s">
        <v>345</v>
      </c>
      <c r="H13" s="9"/>
    </row>
    <row r="14" spans="1:15" x14ac:dyDescent="0.25">
      <c r="A14" t="s">
        <v>152</v>
      </c>
      <c r="B14" t="s">
        <v>346</v>
      </c>
      <c r="H14" s="9"/>
    </row>
    <row r="15" spans="1:15" x14ac:dyDescent="0.25">
      <c r="A15" t="s">
        <v>153</v>
      </c>
      <c r="B15" t="s">
        <v>347</v>
      </c>
      <c r="H15" s="9"/>
    </row>
    <row r="16" spans="1:15" x14ac:dyDescent="0.25">
      <c r="A16" t="s">
        <v>154</v>
      </c>
      <c r="B16" t="s">
        <v>348</v>
      </c>
    </row>
    <row r="17" spans="1:5" x14ac:dyDescent="0.25">
      <c r="A17" t="s">
        <v>155</v>
      </c>
      <c r="B17" t="s">
        <v>349</v>
      </c>
      <c r="E17" s="56"/>
    </row>
    <row r="18" spans="1:5" x14ac:dyDescent="0.25">
      <c r="A18" t="s">
        <v>156</v>
      </c>
      <c r="B18" t="s">
        <v>350</v>
      </c>
      <c r="E18" s="56"/>
    </row>
    <row r="19" spans="1:5" x14ac:dyDescent="0.25">
      <c r="A19" t="s">
        <v>157</v>
      </c>
      <c r="B19" t="s">
        <v>351</v>
      </c>
      <c r="E19" s="56"/>
    </row>
    <row r="20" spans="1:5" x14ac:dyDescent="0.25">
      <c r="A20" t="s">
        <v>158</v>
      </c>
      <c r="B20" t="s">
        <v>352</v>
      </c>
      <c r="E20" s="56"/>
    </row>
    <row r="21" spans="1:5" x14ac:dyDescent="0.25">
      <c r="A21" t="s">
        <v>159</v>
      </c>
      <c r="B21" t="s">
        <v>353</v>
      </c>
      <c r="E21" s="56"/>
    </row>
    <row r="22" spans="1:5" x14ac:dyDescent="0.25">
      <c r="A22" t="s">
        <v>160</v>
      </c>
      <c r="B22" t="s">
        <v>354</v>
      </c>
      <c r="E22" s="56"/>
    </row>
    <row r="23" spans="1:5" x14ac:dyDescent="0.25">
      <c r="A23" t="s">
        <v>161</v>
      </c>
      <c r="B23" t="s">
        <v>355</v>
      </c>
      <c r="E23" s="56"/>
    </row>
    <row r="24" spans="1:5" x14ac:dyDescent="0.25">
      <c r="A24" t="s">
        <v>162</v>
      </c>
      <c r="B24" t="s">
        <v>356</v>
      </c>
      <c r="E24" s="56"/>
    </row>
    <row r="25" spans="1:5" x14ac:dyDescent="0.25">
      <c r="A25" t="s">
        <v>163</v>
      </c>
      <c r="B25" t="s">
        <v>357</v>
      </c>
      <c r="E25" s="56"/>
    </row>
    <row r="26" spans="1:5" x14ac:dyDescent="0.25">
      <c r="A26" t="s">
        <v>164</v>
      </c>
      <c r="B26" t="s">
        <v>358</v>
      </c>
      <c r="E26" s="56"/>
    </row>
    <row r="27" spans="1:5" x14ac:dyDescent="0.25">
      <c r="A27" t="s">
        <v>165</v>
      </c>
      <c r="B27" t="s">
        <v>359</v>
      </c>
      <c r="E27" s="56"/>
    </row>
    <row r="28" spans="1:5" x14ac:dyDescent="0.25">
      <c r="A28" t="s">
        <v>166</v>
      </c>
      <c r="B28" t="s">
        <v>360</v>
      </c>
      <c r="E28" s="56"/>
    </row>
    <row r="29" spans="1:5" x14ac:dyDescent="0.25">
      <c r="A29" t="s">
        <v>167</v>
      </c>
      <c r="B29" t="s">
        <v>361</v>
      </c>
      <c r="E29" s="56"/>
    </row>
    <row r="30" spans="1:5" x14ac:dyDescent="0.25">
      <c r="A30" t="s">
        <v>168</v>
      </c>
      <c r="B30" t="s">
        <v>362</v>
      </c>
      <c r="E30" s="56"/>
    </row>
    <row r="31" spans="1:5" x14ac:dyDescent="0.25">
      <c r="A31" t="s">
        <v>169</v>
      </c>
      <c r="B31" t="s">
        <v>363</v>
      </c>
      <c r="E31" s="56"/>
    </row>
    <row r="32" spans="1:5" x14ac:dyDescent="0.25">
      <c r="A32" t="s">
        <v>170</v>
      </c>
      <c r="B32" t="s">
        <v>364</v>
      </c>
      <c r="E32" s="56"/>
    </row>
    <row r="33" spans="1:5" x14ac:dyDescent="0.25">
      <c r="A33" t="s">
        <v>171</v>
      </c>
      <c r="B33" t="s">
        <v>365</v>
      </c>
      <c r="E33" s="56"/>
    </row>
    <row r="34" spans="1:5" x14ac:dyDescent="0.25">
      <c r="A34" t="s">
        <v>172</v>
      </c>
      <c r="B34" t="s">
        <v>366</v>
      </c>
      <c r="E34" s="56"/>
    </row>
    <row r="35" spans="1:5" x14ac:dyDescent="0.25">
      <c r="A35" t="s">
        <v>173</v>
      </c>
      <c r="B35" t="s">
        <v>367</v>
      </c>
      <c r="E35" s="56"/>
    </row>
    <row r="36" spans="1:5" x14ac:dyDescent="0.25">
      <c r="A36" t="s">
        <v>174</v>
      </c>
      <c r="B36" t="s">
        <v>368</v>
      </c>
      <c r="E36" s="56"/>
    </row>
    <row r="37" spans="1:5" x14ac:dyDescent="0.25">
      <c r="A37" t="s">
        <v>175</v>
      </c>
      <c r="B37" t="s">
        <v>369</v>
      </c>
      <c r="E37" s="56"/>
    </row>
    <row r="38" spans="1:5" x14ac:dyDescent="0.25">
      <c r="A38" t="s">
        <v>176</v>
      </c>
      <c r="B38" t="s">
        <v>370</v>
      </c>
      <c r="E38" s="56"/>
    </row>
    <row r="39" spans="1:5" x14ac:dyDescent="0.25">
      <c r="A39" t="s">
        <v>177</v>
      </c>
      <c r="B39" t="s">
        <v>371</v>
      </c>
      <c r="E39" s="56"/>
    </row>
    <row r="40" spans="1:5" x14ac:dyDescent="0.25">
      <c r="A40" t="s">
        <v>178</v>
      </c>
      <c r="B40" t="s">
        <v>372</v>
      </c>
      <c r="E40" s="56"/>
    </row>
    <row r="41" spans="1:5" x14ac:dyDescent="0.25">
      <c r="A41" t="s">
        <v>179</v>
      </c>
      <c r="B41" t="s">
        <v>373</v>
      </c>
      <c r="E41" s="56"/>
    </row>
    <row r="42" spans="1:5" x14ac:dyDescent="0.25">
      <c r="A42" t="s">
        <v>180</v>
      </c>
      <c r="B42" t="s">
        <v>374</v>
      </c>
      <c r="E42" s="56"/>
    </row>
    <row r="43" spans="1:5" x14ac:dyDescent="0.25">
      <c r="A43" t="s">
        <v>181</v>
      </c>
      <c r="B43" t="s">
        <v>375</v>
      </c>
      <c r="E43" s="56"/>
    </row>
    <row r="44" spans="1:5" x14ac:dyDescent="0.25">
      <c r="A44" t="s">
        <v>182</v>
      </c>
      <c r="B44" t="s">
        <v>376</v>
      </c>
      <c r="E44" s="56"/>
    </row>
    <row r="45" spans="1:5" x14ac:dyDescent="0.25">
      <c r="A45" t="s">
        <v>183</v>
      </c>
      <c r="B45" t="s">
        <v>377</v>
      </c>
      <c r="E45" s="56"/>
    </row>
    <row r="46" spans="1:5" x14ac:dyDescent="0.25">
      <c r="A46" t="s">
        <v>184</v>
      </c>
      <c r="B46" t="s">
        <v>378</v>
      </c>
      <c r="E46" s="56"/>
    </row>
    <row r="47" spans="1:5" x14ac:dyDescent="0.25">
      <c r="A47" t="s">
        <v>185</v>
      </c>
      <c r="B47" t="s">
        <v>379</v>
      </c>
      <c r="E47" s="56"/>
    </row>
    <row r="48" spans="1:5" x14ac:dyDescent="0.25">
      <c r="A48" t="s">
        <v>186</v>
      </c>
      <c r="B48" t="s">
        <v>380</v>
      </c>
      <c r="E48" s="56"/>
    </row>
    <row r="49" spans="1:5" x14ac:dyDescent="0.25">
      <c r="A49" t="s">
        <v>187</v>
      </c>
      <c r="B49" t="s">
        <v>382</v>
      </c>
      <c r="E49" s="56"/>
    </row>
    <row r="50" spans="1:5" x14ac:dyDescent="0.25">
      <c r="A50" t="s">
        <v>188</v>
      </c>
      <c r="B50" t="s">
        <v>383</v>
      </c>
      <c r="E50" s="56"/>
    </row>
    <row r="51" spans="1:5" x14ac:dyDescent="0.25">
      <c r="A51" t="s">
        <v>189</v>
      </c>
      <c r="B51" t="s">
        <v>381</v>
      </c>
      <c r="E51" s="56"/>
    </row>
    <row r="52" spans="1:5" x14ac:dyDescent="0.25">
      <c r="E52" s="56"/>
    </row>
    <row r="53" spans="1:5" x14ac:dyDescent="0.25">
      <c r="E53" s="56"/>
    </row>
    <row r="54" spans="1:5" x14ac:dyDescent="0.25">
      <c r="E54" s="56"/>
    </row>
    <row r="55" spans="1:5" x14ac:dyDescent="0.25">
      <c r="E55" s="56"/>
    </row>
    <row r="56" spans="1:5" x14ac:dyDescent="0.25">
      <c r="E56" s="56"/>
    </row>
    <row r="57" spans="1:5" x14ac:dyDescent="0.25">
      <c r="E57" s="56"/>
    </row>
    <row r="58" spans="1:5" x14ac:dyDescent="0.25">
      <c r="E58" s="56"/>
    </row>
    <row r="59" spans="1:5" x14ac:dyDescent="0.25">
      <c r="E59" s="56"/>
    </row>
    <row r="60" spans="1:5" x14ac:dyDescent="0.25">
      <c r="E60" s="56"/>
    </row>
    <row r="61" spans="1:5" x14ac:dyDescent="0.25">
      <c r="E61" s="56"/>
    </row>
    <row r="62" spans="1:5" x14ac:dyDescent="0.25">
      <c r="E62" s="56"/>
    </row>
    <row r="63" spans="1:5" x14ac:dyDescent="0.25">
      <c r="E63" s="56"/>
    </row>
    <row r="64" spans="1:5" x14ac:dyDescent="0.25">
      <c r="E64" s="56"/>
    </row>
    <row r="65" spans="5:5" x14ac:dyDescent="0.25">
      <c r="E65" s="56"/>
    </row>
    <row r="66" spans="5:5" x14ac:dyDescent="0.25">
      <c r="E66" s="56"/>
    </row>
    <row r="67" spans="5:5" x14ac:dyDescent="0.25">
      <c r="E67" s="56"/>
    </row>
    <row r="68" spans="5:5" x14ac:dyDescent="0.25">
      <c r="E68" s="56"/>
    </row>
    <row r="69" spans="5:5" x14ac:dyDescent="0.25">
      <c r="E69" s="56"/>
    </row>
    <row r="70" spans="5:5" x14ac:dyDescent="0.25">
      <c r="E70" s="56"/>
    </row>
    <row r="71" spans="5:5" x14ac:dyDescent="0.25">
      <c r="E71" s="56"/>
    </row>
    <row r="72" spans="5:5" x14ac:dyDescent="0.25">
      <c r="E72" s="56"/>
    </row>
    <row r="73" spans="5:5" x14ac:dyDescent="0.25">
      <c r="E73" s="56"/>
    </row>
    <row r="74" spans="5:5" x14ac:dyDescent="0.25">
      <c r="E74" s="56"/>
    </row>
    <row r="75" spans="5:5" x14ac:dyDescent="0.25">
      <c r="E75" s="56"/>
    </row>
    <row r="76" spans="5:5" x14ac:dyDescent="0.25">
      <c r="E76" s="56"/>
    </row>
    <row r="77" spans="5:5" x14ac:dyDescent="0.25">
      <c r="E77" s="56"/>
    </row>
    <row r="78" spans="5:5" x14ac:dyDescent="0.25">
      <c r="E78" s="56"/>
    </row>
    <row r="79" spans="5:5" x14ac:dyDescent="0.25">
      <c r="E79" s="56"/>
    </row>
    <row r="80" spans="5:5" x14ac:dyDescent="0.25">
      <c r="E80" s="56"/>
    </row>
    <row r="81" spans="5:5" x14ac:dyDescent="0.25">
      <c r="E81" s="56"/>
    </row>
    <row r="82" spans="5:5" x14ac:dyDescent="0.25">
      <c r="E82" s="56"/>
    </row>
    <row r="83" spans="5:5" x14ac:dyDescent="0.25">
      <c r="E83" s="56"/>
    </row>
    <row r="84" spans="5:5" x14ac:dyDescent="0.25">
      <c r="E84" s="56"/>
    </row>
    <row r="85" spans="5:5" x14ac:dyDescent="0.25">
      <c r="E85" s="56"/>
    </row>
    <row r="86" spans="5:5" x14ac:dyDescent="0.25">
      <c r="E86" s="56"/>
    </row>
    <row r="87" spans="5:5" x14ac:dyDescent="0.25">
      <c r="E87" s="56"/>
    </row>
    <row r="88" spans="5:5" x14ac:dyDescent="0.25">
      <c r="E88" s="56"/>
    </row>
    <row r="89" spans="5:5" x14ac:dyDescent="0.25">
      <c r="E89" s="56"/>
    </row>
    <row r="90" spans="5:5" x14ac:dyDescent="0.25">
      <c r="E90" s="56"/>
    </row>
    <row r="91" spans="5:5" x14ac:dyDescent="0.25">
      <c r="E91" s="56"/>
    </row>
    <row r="92" spans="5:5" x14ac:dyDescent="0.25">
      <c r="E92" s="56"/>
    </row>
    <row r="93" spans="5:5" x14ac:dyDescent="0.25">
      <c r="E93" s="56"/>
    </row>
    <row r="94" spans="5:5" x14ac:dyDescent="0.25">
      <c r="E94" s="56"/>
    </row>
    <row r="95" spans="5:5" x14ac:dyDescent="0.25">
      <c r="E95" s="56"/>
    </row>
    <row r="96" spans="5:5" x14ac:dyDescent="0.25">
      <c r="E96" s="56"/>
    </row>
    <row r="97" spans="5:5" x14ac:dyDescent="0.25">
      <c r="E97" s="56"/>
    </row>
    <row r="98" spans="5:5" x14ac:dyDescent="0.25">
      <c r="E98" s="56"/>
    </row>
    <row r="99" spans="5:5" x14ac:dyDescent="0.25">
      <c r="E99" s="56"/>
    </row>
    <row r="100" spans="5:5" x14ac:dyDescent="0.25">
      <c r="E100" s="56"/>
    </row>
    <row r="101" spans="5:5" x14ac:dyDescent="0.25">
      <c r="E101" s="56"/>
    </row>
    <row r="102" spans="5:5" x14ac:dyDescent="0.25">
      <c r="E102" s="56"/>
    </row>
    <row r="103" spans="5:5" x14ac:dyDescent="0.25">
      <c r="E103" s="56"/>
    </row>
    <row r="104" spans="5:5" x14ac:dyDescent="0.25">
      <c r="E104" s="56"/>
    </row>
    <row r="105" spans="5:5" x14ac:dyDescent="0.25">
      <c r="E105" s="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N53"/>
  <sheetViews>
    <sheetView zoomScaleNormal="100" workbookViewId="0">
      <selection activeCell="C10" sqref="C10"/>
    </sheetView>
  </sheetViews>
  <sheetFormatPr defaultRowHeight="15" x14ac:dyDescent="0.25"/>
  <cols>
    <col min="1" max="1" width="16" style="1" customWidth="1"/>
    <col min="2" max="2" width="27.28515625" style="1" customWidth="1"/>
    <col min="3" max="3" width="51" style="1" customWidth="1"/>
    <col min="4" max="4" width="33.85546875" style="1" customWidth="1"/>
    <col min="5" max="8" width="16" style="1" hidden="1" customWidth="1"/>
    <col min="9" max="9" width="26.28515625" style="1" hidden="1" customWidth="1"/>
    <col min="10" max="14" width="12.7109375" style="1" customWidth="1"/>
    <col min="15" max="16" width="9.140625" style="1" customWidth="1"/>
    <col min="17" max="16384" width="9.140625" style="1"/>
  </cols>
  <sheetData>
    <row r="1" spans="1:14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25">
      <c r="D2" s="5"/>
    </row>
    <row r="3" spans="1:14" x14ac:dyDescent="0.25">
      <c r="D3" s="5"/>
    </row>
    <row r="4" spans="1:14" x14ac:dyDescent="0.25">
      <c r="D4" s="5"/>
    </row>
    <row r="5" spans="1:14" x14ac:dyDescent="0.25">
      <c r="D5" s="5"/>
    </row>
    <row r="6" spans="1:14" x14ac:dyDescent="0.25">
      <c r="D6" s="5"/>
    </row>
    <row r="7" spans="1:14" x14ac:dyDescent="0.25">
      <c r="D7" s="5"/>
    </row>
    <row r="8" spans="1:14" x14ac:dyDescent="0.25">
      <c r="D8" s="5"/>
    </row>
    <row r="9" spans="1:14" x14ac:dyDescent="0.25">
      <c r="D9" s="5"/>
    </row>
    <row r="10" spans="1:14" x14ac:dyDescent="0.25">
      <c r="D10" s="5"/>
    </row>
    <row r="11" spans="1:14" x14ac:dyDescent="0.25">
      <c r="D11" s="5"/>
    </row>
    <row r="12" spans="1:14" x14ac:dyDescent="0.25">
      <c r="D12" s="5"/>
    </row>
    <row r="13" spans="1:14" x14ac:dyDescent="0.25">
      <c r="D13" s="5"/>
    </row>
    <row r="14" spans="1:14" x14ac:dyDescent="0.25">
      <c r="D14" s="5"/>
    </row>
    <row r="15" spans="1:14" x14ac:dyDescent="0.25">
      <c r="D15" s="5"/>
    </row>
    <row r="16" spans="1:14" x14ac:dyDescent="0.25">
      <c r="C16" s="8"/>
      <c r="D16" s="5"/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  <row r="49" spans="4:10" x14ac:dyDescent="0.25">
      <c r="D49" s="5"/>
    </row>
    <row r="50" spans="4:10" x14ac:dyDescent="0.25">
      <c r="J50" s="6"/>
    </row>
    <row r="51" spans="4:10" x14ac:dyDescent="0.25">
      <c r="J51" s="7"/>
    </row>
    <row r="52" spans="4:10" x14ac:dyDescent="0.25">
      <c r="J52" s="6"/>
    </row>
    <row r="53" spans="4:10" x14ac:dyDescent="0.25">
      <c r="J53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A1:AC241"/>
  <sheetViews>
    <sheetView zoomScaleNormal="100" workbookViewId="0">
      <selection activeCell="F30" sqref="F30"/>
    </sheetView>
  </sheetViews>
  <sheetFormatPr defaultRowHeight="15" x14ac:dyDescent="0.25"/>
  <cols>
    <col min="1" max="1" width="53.140625" style="11" customWidth="1"/>
    <col min="2" max="2" width="25" style="11" customWidth="1"/>
    <col min="3" max="3" width="18.42578125" style="11" customWidth="1"/>
    <col min="4" max="4" width="12.42578125" style="11" customWidth="1"/>
    <col min="5" max="5" width="20.5703125" style="11" customWidth="1"/>
    <col min="6" max="6" width="17.140625" style="11" customWidth="1"/>
    <col min="7" max="7" width="29.28515625" style="12" customWidth="1"/>
    <col min="8" max="8" width="21.5703125" style="11" customWidth="1"/>
    <col min="9" max="9" width="11" style="11" customWidth="1"/>
    <col min="10" max="10" width="14.5703125" style="11" customWidth="1"/>
    <col min="11" max="11" width="16.85546875" style="13" customWidth="1"/>
    <col min="12" max="12" width="26.140625" style="11" customWidth="1"/>
    <col min="13" max="13" width="23.28515625" style="11" customWidth="1"/>
    <col min="14" max="14" width="33.140625" style="11" customWidth="1"/>
    <col min="15" max="15" width="13.28515625" style="11" customWidth="1"/>
    <col min="16" max="16" width="109.7109375" style="11" customWidth="1"/>
    <col min="17" max="17" width="24.42578125" style="11" customWidth="1"/>
    <col min="18" max="19" width="9.140625" style="11" customWidth="1"/>
    <col min="20" max="20" width="31.7109375" style="11" customWidth="1"/>
    <col min="21" max="21" width="30.42578125" style="11" customWidth="1"/>
    <col min="22" max="22" width="33" style="11" bestFit="1" customWidth="1"/>
    <col min="23" max="23" width="25.85546875" style="11" bestFit="1" customWidth="1"/>
    <col min="24" max="27" width="27.140625" style="11" customWidth="1"/>
    <col min="28" max="29" width="9.140625" style="11" customWidth="1"/>
    <col min="30" max="16384" width="9.140625" style="11"/>
  </cols>
  <sheetData>
    <row r="1" spans="1:24" x14ac:dyDescent="0.25">
      <c r="A1" s="11" t="s">
        <v>46</v>
      </c>
      <c r="B1" s="11" t="s">
        <v>47</v>
      </c>
      <c r="C1" s="11" t="s">
        <v>53</v>
      </c>
      <c r="D1" s="11" t="s">
        <v>54</v>
      </c>
      <c r="E1" s="11" t="s">
        <v>55</v>
      </c>
      <c r="F1" s="11" t="s">
        <v>56</v>
      </c>
      <c r="G1" s="12" t="s">
        <v>57</v>
      </c>
      <c r="H1" s="11" t="s">
        <v>58</v>
      </c>
      <c r="I1" s="11" t="s">
        <v>59</v>
      </c>
      <c r="J1" s="11" t="s">
        <v>60</v>
      </c>
      <c r="K1" s="13" t="s">
        <v>61</v>
      </c>
      <c r="L1" s="11" t="s">
        <v>62</v>
      </c>
      <c r="M1" s="11" t="s">
        <v>63</v>
      </c>
      <c r="N1" s="11" t="s">
        <v>64</v>
      </c>
      <c r="O1" s="11" t="s">
        <v>65</v>
      </c>
      <c r="P1" s="11" t="s">
        <v>66</v>
      </c>
      <c r="Q1" s="11" t="s">
        <v>67</v>
      </c>
      <c r="T1" s="57" t="s">
        <v>69</v>
      </c>
      <c r="U1" s="57"/>
      <c r="V1" s="57"/>
      <c r="W1" s="57"/>
      <c r="X1" s="57"/>
    </row>
    <row r="2" spans="1:24" s="14" customFormat="1" x14ac:dyDescent="0.25">
      <c r="A2" t="s">
        <v>239</v>
      </c>
      <c r="B2" s="32"/>
      <c r="C2" s="32"/>
      <c r="D2" s="32"/>
      <c r="E2" s="78">
        <v>0</v>
      </c>
      <c r="F2" s="30"/>
      <c r="H2" s="3" t="s">
        <v>137</v>
      </c>
      <c r="I2" s="32"/>
      <c r="J2"/>
      <c r="K2" s="72"/>
      <c r="L2" s="32"/>
      <c r="M2" s="14" t="s">
        <v>139</v>
      </c>
      <c r="N2" s="14" t="s">
        <v>138</v>
      </c>
      <c r="O2" s="14">
        <v>19</v>
      </c>
      <c r="P2" s="31" t="str">
        <f>_xlfn.TEXTJOIN(",", TRUE, T2:AE2)</f>
        <v>1LB - FL1 East Core 1 L,1LB - FL1 East Core 1 P,1LB - FL1 East Core 2 L,1LB - FL1 East Core 2 P</v>
      </c>
      <c r="T2" t="s">
        <v>381</v>
      </c>
      <c r="U2" t="s">
        <v>190</v>
      </c>
      <c r="V2" t="s">
        <v>192</v>
      </c>
      <c r="W2" t="s">
        <v>191</v>
      </c>
    </row>
    <row r="3" spans="1:24" s="14" customFormat="1" x14ac:dyDescent="0.25">
      <c r="A3" t="s">
        <v>240</v>
      </c>
      <c r="B3" s="32"/>
      <c r="C3" s="32"/>
      <c r="D3" s="32"/>
      <c r="E3" s="78">
        <v>0</v>
      </c>
      <c r="F3" s="30"/>
      <c r="H3" s="3" t="s">
        <v>137</v>
      </c>
      <c r="I3" s="32"/>
      <c r="J3"/>
      <c r="K3" s="32"/>
      <c r="L3" s="32"/>
      <c r="M3" s="14" t="s">
        <v>139</v>
      </c>
      <c r="N3" s="14" t="s">
        <v>138</v>
      </c>
      <c r="O3" s="14">
        <v>19</v>
      </c>
      <c r="P3" s="31" t="str">
        <f t="shared" ref="P3:P34" si="0">_xlfn.TEXTJOIN(",", TRUE, T3:AE3)</f>
        <v>1LB - FL2 East Core 1 L,1LB - FL2 East Core 1 P,1LB - FL2 East Core 2 L,1LB - FL2 East Core 2 P</v>
      </c>
      <c r="T3" t="s">
        <v>194</v>
      </c>
      <c r="U3" t="s">
        <v>193</v>
      </c>
      <c r="V3" t="s">
        <v>196</v>
      </c>
      <c r="W3" t="s">
        <v>195</v>
      </c>
    </row>
    <row r="4" spans="1:24" s="14" customFormat="1" ht="30" x14ac:dyDescent="0.25">
      <c r="A4" t="s">
        <v>241</v>
      </c>
      <c r="B4" s="32"/>
      <c r="C4" s="32"/>
      <c r="D4" s="32"/>
      <c r="E4" s="78">
        <v>0</v>
      </c>
      <c r="F4" s="30"/>
      <c r="H4" s="3" t="s">
        <v>137</v>
      </c>
      <c r="I4" s="32"/>
      <c r="J4"/>
      <c r="K4" s="72"/>
      <c r="L4" s="32"/>
      <c r="M4" s="14" t="s">
        <v>139</v>
      </c>
      <c r="N4" s="14" t="s">
        <v>138</v>
      </c>
      <c r="O4" s="14">
        <v>19</v>
      </c>
      <c r="P4" s="31" t="str">
        <f t="shared" si="0"/>
        <v>1LB - FL3 East Core 1 L,1LB - FL3 East Core 1 P,1LB - FL3 East Core 2 L,1LB - FL3 East Core 2 P,1LB - FL3 East Core 2 Metering Panel 1</v>
      </c>
      <c r="T4" t="s">
        <v>198</v>
      </c>
      <c r="U4" t="s">
        <v>197</v>
      </c>
      <c r="V4" t="s">
        <v>200</v>
      </c>
      <c r="W4" t="s">
        <v>199</v>
      </c>
      <c r="X4" t="s">
        <v>201</v>
      </c>
    </row>
    <row r="5" spans="1:24" s="14" customFormat="1" x14ac:dyDescent="0.25">
      <c r="A5" t="s">
        <v>242</v>
      </c>
      <c r="B5" s="32"/>
      <c r="C5" s="32"/>
      <c r="D5" s="32"/>
      <c r="E5" s="78">
        <v>0</v>
      </c>
      <c r="F5" s="30"/>
      <c r="H5" s="3" t="s">
        <v>137</v>
      </c>
      <c r="I5" s="72"/>
      <c r="J5"/>
      <c r="K5" s="32"/>
      <c r="L5" s="32"/>
      <c r="M5" s="14" t="s">
        <v>139</v>
      </c>
      <c r="N5" s="14" t="s">
        <v>138</v>
      </c>
      <c r="O5" s="14">
        <v>19</v>
      </c>
      <c r="P5" s="31" t="str">
        <f t="shared" si="0"/>
        <v>1LB - FL4 East Core 1 L,1LB - FL4 East Core 1 P,1LB - FL4 East Core 2 L,1LB - FL4 East Core 2 P</v>
      </c>
      <c r="T5" t="s">
        <v>203</v>
      </c>
      <c r="U5" t="s">
        <v>202</v>
      </c>
      <c r="V5" t="s">
        <v>205</v>
      </c>
      <c r="W5" t="s">
        <v>204</v>
      </c>
    </row>
    <row r="6" spans="1:24" s="14" customFormat="1" x14ac:dyDescent="0.25">
      <c r="A6" t="s">
        <v>243</v>
      </c>
      <c r="B6" s="32"/>
      <c r="C6" s="32"/>
      <c r="D6" s="32"/>
      <c r="E6" s="78">
        <v>0</v>
      </c>
      <c r="F6" s="30"/>
      <c r="H6" s="3" t="s">
        <v>137</v>
      </c>
      <c r="I6" s="72"/>
      <c r="J6"/>
      <c r="K6" s="32"/>
      <c r="L6" s="32"/>
      <c r="M6" s="14" t="s">
        <v>139</v>
      </c>
      <c r="N6" s="14" t="s">
        <v>138</v>
      </c>
      <c r="O6" s="14">
        <v>19</v>
      </c>
      <c r="P6" s="31" t="str">
        <f t="shared" si="0"/>
        <v>1LB - FL5 East Core 1 L,1LB - FL5 East Core 1 P,1LB - FL5 East Core 2 L,1LB - FL5 East Core 2 P</v>
      </c>
      <c r="T6" t="s">
        <v>207</v>
      </c>
      <c r="U6" t="s">
        <v>206</v>
      </c>
      <c r="V6" t="s">
        <v>209</v>
      </c>
      <c r="W6" t="s">
        <v>208</v>
      </c>
    </row>
    <row r="7" spans="1:24" s="14" customFormat="1" x14ac:dyDescent="0.25">
      <c r="A7" t="s">
        <v>244</v>
      </c>
      <c r="B7" s="32"/>
      <c r="C7" s="32"/>
      <c r="D7" s="32"/>
      <c r="E7" s="78">
        <v>0</v>
      </c>
      <c r="F7" s="30"/>
      <c r="H7" s="3" t="s">
        <v>137</v>
      </c>
      <c r="I7" s="72"/>
      <c r="J7"/>
      <c r="K7" s="32"/>
      <c r="L7" s="32"/>
      <c r="M7" s="14" t="s">
        <v>139</v>
      </c>
      <c r="N7" s="14" t="s">
        <v>138</v>
      </c>
      <c r="O7" s="14">
        <v>19</v>
      </c>
      <c r="P7" s="31" t="str">
        <f t="shared" si="0"/>
        <v>1LB - FL6 East Core 1 L,1LB - FL6 East Core 1 P,1LB - FL6 East Core 2 L,1LB - FL6 East Core 2 P</v>
      </c>
      <c r="T7" t="s">
        <v>211</v>
      </c>
      <c r="U7" t="s">
        <v>210</v>
      </c>
      <c r="V7" t="s">
        <v>213</v>
      </c>
      <c r="W7" t="s">
        <v>212</v>
      </c>
    </row>
    <row r="8" spans="1:24" s="14" customFormat="1" x14ac:dyDescent="0.25">
      <c r="A8" t="s">
        <v>245</v>
      </c>
      <c r="B8" s="32"/>
      <c r="C8" s="32"/>
      <c r="D8" s="32"/>
      <c r="E8" s="78">
        <v>0</v>
      </c>
      <c r="F8" s="30"/>
      <c r="H8" s="3" t="s">
        <v>137</v>
      </c>
      <c r="I8" s="72"/>
      <c r="J8"/>
      <c r="K8" s="32"/>
      <c r="L8" s="32"/>
      <c r="M8" s="14" t="s">
        <v>139</v>
      </c>
      <c r="N8" s="14" t="s">
        <v>138</v>
      </c>
      <c r="O8" s="14">
        <v>19</v>
      </c>
      <c r="P8" s="31" t="str">
        <f t="shared" si="0"/>
        <v>1LB - FL7 East Core 1 L,1LB - FL7 East Core 1 P,1LB - FL7 East Core 2 L,1LB - FL7 East Core 2 P</v>
      </c>
      <c r="T8" t="s">
        <v>215</v>
      </c>
      <c r="U8" t="s">
        <v>214</v>
      </c>
      <c r="V8" t="s">
        <v>217</v>
      </c>
      <c r="W8" t="s">
        <v>216</v>
      </c>
    </row>
    <row r="9" spans="1:24" s="14" customFormat="1" x14ac:dyDescent="0.25">
      <c r="A9" t="s">
        <v>246</v>
      </c>
      <c r="B9" s="32"/>
      <c r="C9" s="32"/>
      <c r="D9" s="32"/>
      <c r="E9" s="78">
        <v>0</v>
      </c>
      <c r="F9" s="30"/>
      <c r="H9" s="3" t="s">
        <v>137</v>
      </c>
      <c r="I9" s="72"/>
      <c r="J9"/>
      <c r="K9" s="32"/>
      <c r="L9" s="32"/>
      <c r="M9" s="14" t="s">
        <v>139</v>
      </c>
      <c r="N9" s="14" t="s">
        <v>138</v>
      </c>
      <c r="O9" s="14">
        <v>19</v>
      </c>
      <c r="P9" s="31" t="str">
        <f t="shared" si="0"/>
        <v>1LB - FL8 East Core 1 L,1LB - FL8 East Core 1 P,1LB - FL8 East Core 2 L,1LB - FL8 East Core 2 P</v>
      </c>
      <c r="T9" t="s">
        <v>219</v>
      </c>
      <c r="U9" t="s">
        <v>218</v>
      </c>
      <c r="V9" t="s">
        <v>221</v>
      </c>
      <c r="W9" t="s">
        <v>220</v>
      </c>
    </row>
    <row r="10" spans="1:24" s="14" customFormat="1" x14ac:dyDescent="0.25">
      <c r="A10" t="s">
        <v>247</v>
      </c>
      <c r="B10" s="32"/>
      <c r="C10" s="32"/>
      <c r="D10" s="32"/>
      <c r="E10" s="78">
        <v>0</v>
      </c>
      <c r="F10" s="30"/>
      <c r="H10" s="3" t="s">
        <v>137</v>
      </c>
      <c r="I10" s="72"/>
      <c r="J10"/>
      <c r="K10" s="32"/>
      <c r="L10" s="32"/>
      <c r="M10" s="14" t="s">
        <v>139</v>
      </c>
      <c r="N10" s="14" t="s">
        <v>138</v>
      </c>
      <c r="O10" s="14">
        <v>19</v>
      </c>
      <c r="P10" s="31" t="str">
        <f t="shared" si="0"/>
        <v>1LB - FL9 East Core 1 L,1LB - FL9 East Core 1 P,1LB - FL9 East Core 2 L,1LB - FL9 East Core 2 P</v>
      </c>
      <c r="T10" t="s">
        <v>223</v>
      </c>
      <c r="U10" t="s">
        <v>222</v>
      </c>
      <c r="V10" t="s">
        <v>225</v>
      </c>
      <c r="W10" t="s">
        <v>224</v>
      </c>
    </row>
    <row r="11" spans="1:24" s="14" customFormat="1" x14ac:dyDescent="0.25">
      <c r="A11" t="s">
        <v>248</v>
      </c>
      <c r="B11" s="32"/>
      <c r="C11" s="32"/>
      <c r="D11" s="32"/>
      <c r="E11" s="78">
        <v>0</v>
      </c>
      <c r="F11" s="32"/>
      <c r="H11" s="3" t="s">
        <v>137</v>
      </c>
      <c r="I11" s="32"/>
      <c r="J11"/>
      <c r="K11" s="32"/>
      <c r="L11" s="32"/>
      <c r="M11" s="14" t="s">
        <v>139</v>
      </c>
      <c r="N11" s="14" t="s">
        <v>138</v>
      </c>
      <c r="O11" s="14">
        <v>19</v>
      </c>
      <c r="P11" s="31" t="str">
        <f t="shared" si="0"/>
        <v>1LB - FL2 West Core 2 L,1LB - FL2 West Core 2 P,1LB - FL2 West Core 1 P,1LB - FL2 West Core 1 L</v>
      </c>
      <c r="T11" t="s">
        <v>334</v>
      </c>
      <c r="U11" t="s">
        <v>339</v>
      </c>
      <c r="V11" t="s">
        <v>358</v>
      </c>
      <c r="W11" t="s">
        <v>367</v>
      </c>
    </row>
    <row r="12" spans="1:24" s="14" customFormat="1" x14ac:dyDescent="0.25">
      <c r="A12" t="s">
        <v>249</v>
      </c>
      <c r="B12" s="32"/>
      <c r="C12" s="32"/>
      <c r="D12" s="32"/>
      <c r="E12" s="78">
        <v>0</v>
      </c>
      <c r="F12" s="32"/>
      <c r="H12" s="3" t="s">
        <v>137</v>
      </c>
      <c r="I12" s="32"/>
      <c r="J12"/>
      <c r="K12" s="32"/>
      <c r="L12" s="32"/>
      <c r="M12" s="14" t="s">
        <v>139</v>
      </c>
      <c r="N12" s="14" t="s">
        <v>138</v>
      </c>
      <c r="O12" s="14">
        <v>19</v>
      </c>
      <c r="P12" s="31" t="str">
        <f t="shared" si="0"/>
        <v>1LB - FL3 West Core 2 L,1LB - FL3 West Core 2 P,1LB - FL3 West Core 1 P,1LB - FL3 West Core 1 L</v>
      </c>
      <c r="T12" t="s">
        <v>351</v>
      </c>
      <c r="U12" t="s">
        <v>350</v>
      </c>
      <c r="V12" t="s">
        <v>359</v>
      </c>
      <c r="W12" t="s">
        <v>368</v>
      </c>
    </row>
    <row r="13" spans="1:24" s="14" customFormat="1" x14ac:dyDescent="0.25">
      <c r="A13" t="s">
        <v>250</v>
      </c>
      <c r="B13" s="32"/>
      <c r="C13" s="32"/>
      <c r="D13" s="32"/>
      <c r="E13" s="78">
        <v>0</v>
      </c>
      <c r="F13" s="32"/>
      <c r="H13" s="3" t="s">
        <v>137</v>
      </c>
      <c r="I13" s="32"/>
      <c r="J13"/>
      <c r="K13" s="32"/>
      <c r="L13" s="32"/>
      <c r="M13" s="14" t="s">
        <v>139</v>
      </c>
      <c r="N13" s="14" t="s">
        <v>138</v>
      </c>
      <c r="O13" s="14">
        <v>19</v>
      </c>
      <c r="P13" s="31" t="str">
        <f t="shared" si="0"/>
        <v>1LB - FL4 West Core 2 L,1LB - FL4 West Core 2 P,1LB - FL4 West Core 1 P,1LB - FL4 West Core 1 L</v>
      </c>
      <c r="T13" t="s">
        <v>335</v>
      </c>
      <c r="U13" t="s">
        <v>340</v>
      </c>
      <c r="V13" t="s">
        <v>360</v>
      </c>
      <c r="W13" t="s">
        <v>369</v>
      </c>
    </row>
    <row r="14" spans="1:24" s="14" customFormat="1" x14ac:dyDescent="0.25">
      <c r="A14" t="s">
        <v>251</v>
      </c>
      <c r="B14" s="32"/>
      <c r="C14" s="32"/>
      <c r="D14" s="32"/>
      <c r="E14" s="78">
        <v>0</v>
      </c>
      <c r="F14" s="32"/>
      <c r="H14" s="3" t="s">
        <v>137</v>
      </c>
      <c r="I14" s="32"/>
      <c r="J14"/>
      <c r="K14" s="32"/>
      <c r="L14" s="32"/>
      <c r="M14" s="14" t="s">
        <v>139</v>
      </c>
      <c r="N14" s="14" t="s">
        <v>138</v>
      </c>
      <c r="O14" s="14">
        <v>19</v>
      </c>
      <c r="P14" s="31" t="str">
        <f t="shared" si="0"/>
        <v>1LB - FL5 West Core 2 L,1LB - FL5 West Core 2 P,1LB - FL5 West Core 1 P,1LB - FL5 West Core 1 L</v>
      </c>
      <c r="T14" t="s">
        <v>336</v>
      </c>
      <c r="U14" t="s">
        <v>341</v>
      </c>
      <c r="V14" t="s">
        <v>361</v>
      </c>
      <c r="W14" t="s">
        <v>370</v>
      </c>
    </row>
    <row r="15" spans="1:24" s="14" customFormat="1" ht="30" x14ac:dyDescent="0.25">
      <c r="A15" t="s">
        <v>252</v>
      </c>
      <c r="B15" s="32"/>
      <c r="C15" s="32"/>
      <c r="D15" s="32"/>
      <c r="E15" s="78">
        <v>0</v>
      </c>
      <c r="F15" s="32"/>
      <c r="H15" s="3" t="s">
        <v>137</v>
      </c>
      <c r="I15" s="32"/>
      <c r="J15"/>
      <c r="K15" s="32"/>
      <c r="L15" s="32"/>
      <c r="M15" s="14" t="s">
        <v>139</v>
      </c>
      <c r="N15" s="14" t="s">
        <v>138</v>
      </c>
      <c r="O15" s="14">
        <v>19</v>
      </c>
      <c r="P15" s="31" t="str">
        <f t="shared" si="0"/>
        <v>1LB - FL6 West Core 2 L,1LB - FL6 West Core 2 P,1LB - FL6 West Core 1 P,1LB - FL6 West Core 1 L,1LB - FL6 West Core 1 Comms</v>
      </c>
      <c r="T15" t="s">
        <v>352</v>
      </c>
      <c r="U15" t="s">
        <v>342</v>
      </c>
      <c r="V15" t="s">
        <v>362</v>
      </c>
      <c r="W15" t="s">
        <v>371</v>
      </c>
      <c r="X15" t="s">
        <v>379</v>
      </c>
    </row>
    <row r="16" spans="1:24" s="14" customFormat="1" x14ac:dyDescent="0.25">
      <c r="A16" t="s">
        <v>253</v>
      </c>
      <c r="B16" s="32"/>
      <c r="C16" s="32"/>
      <c r="D16" s="32"/>
      <c r="E16" s="78">
        <v>0</v>
      </c>
      <c r="F16" s="32"/>
      <c r="H16" s="3" t="s">
        <v>137</v>
      </c>
      <c r="I16" s="32"/>
      <c r="J16"/>
      <c r="K16" s="32"/>
      <c r="L16" s="32"/>
      <c r="M16" s="14" t="s">
        <v>139</v>
      </c>
      <c r="N16" s="14" t="s">
        <v>138</v>
      </c>
      <c r="O16" s="14">
        <v>19</v>
      </c>
      <c r="P16" s="31" t="str">
        <f t="shared" si="0"/>
        <v>1LB - FL7 West Core 2 L,1LB - FL7 West Core 2 P,1LB - FL7 West Core 1 P,1LB - FL7 West Core 1 L</v>
      </c>
      <c r="T16" t="s">
        <v>353</v>
      </c>
      <c r="U16" t="s">
        <v>343</v>
      </c>
      <c r="V16" t="s">
        <v>377</v>
      </c>
      <c r="W16" t="s">
        <v>378</v>
      </c>
    </row>
    <row r="17" spans="1:28" s="14" customFormat="1" x14ac:dyDescent="0.25">
      <c r="A17" t="s">
        <v>254</v>
      </c>
      <c r="B17" s="32"/>
      <c r="C17" s="32"/>
      <c r="D17" s="32"/>
      <c r="E17" s="78">
        <v>0</v>
      </c>
      <c r="F17" s="32"/>
      <c r="H17" s="3" t="s">
        <v>137</v>
      </c>
      <c r="I17" s="32"/>
      <c r="J17"/>
      <c r="K17" s="32"/>
      <c r="L17" s="32"/>
      <c r="M17" s="14" t="s">
        <v>139</v>
      </c>
      <c r="N17" s="14" t="s">
        <v>138</v>
      </c>
      <c r="O17" s="14">
        <v>19</v>
      </c>
      <c r="P17" s="31" t="str">
        <f t="shared" si="0"/>
        <v>1LB - FL8 West Core 2 L,1LB - FL8 West Core 2 P,1LB - FL8 West Core 1 P,1LB - FL8 West Core 1 L</v>
      </c>
      <c r="T17" t="s">
        <v>337</v>
      </c>
      <c r="U17" t="s">
        <v>344</v>
      </c>
      <c r="V17" t="s">
        <v>363</v>
      </c>
      <c r="W17" t="s">
        <v>372</v>
      </c>
    </row>
    <row r="18" spans="1:28" s="14" customFormat="1" x14ac:dyDescent="0.25">
      <c r="A18" t="s">
        <v>255</v>
      </c>
      <c r="B18" s="32"/>
      <c r="C18" s="32"/>
      <c r="D18" s="32"/>
      <c r="E18" s="78">
        <v>0</v>
      </c>
      <c r="F18" s="32"/>
      <c r="H18" s="3" t="s">
        <v>137</v>
      </c>
      <c r="I18" s="32"/>
      <c r="J18"/>
      <c r="K18" s="32"/>
      <c r="L18" s="32"/>
      <c r="M18" s="14" t="s">
        <v>139</v>
      </c>
      <c r="N18" s="14" t="s">
        <v>138</v>
      </c>
      <c r="O18" s="14">
        <v>19</v>
      </c>
      <c r="P18" s="31" t="str">
        <f t="shared" si="0"/>
        <v>1LB - FL9 West Core 2 L,1LB - FL9 West Core 2 P,1LB - FL9 West Core 1 P,1LB - FL9 West Core 1 L</v>
      </c>
      <c r="T18" t="s">
        <v>338</v>
      </c>
      <c r="U18" t="s">
        <v>345</v>
      </c>
      <c r="V18" t="s">
        <v>364</v>
      </c>
      <c r="W18" t="s">
        <v>373</v>
      </c>
    </row>
    <row r="19" spans="1:28" s="14" customFormat="1" x14ac:dyDescent="0.25">
      <c r="A19" t="s">
        <v>256</v>
      </c>
      <c r="B19" s="32"/>
      <c r="C19" s="32"/>
      <c r="D19" s="32"/>
      <c r="E19" s="78">
        <v>0</v>
      </c>
      <c r="F19" s="32"/>
      <c r="H19" s="3" t="s">
        <v>137</v>
      </c>
      <c r="I19" s="32"/>
      <c r="J19"/>
      <c r="K19" s="32"/>
      <c r="L19" s="32"/>
      <c r="M19" s="14" t="s">
        <v>139</v>
      </c>
      <c r="N19" s="14" t="s">
        <v>138</v>
      </c>
      <c r="O19" s="14">
        <v>19</v>
      </c>
      <c r="P19" s="31" t="str">
        <f t="shared" si="0"/>
        <v>1LB - FL10 West Core 2 L,1LB - FL10 West Core 2 P,1LB - FL10 West Core 1 P,1LB - FL10 West Core 1 L</v>
      </c>
      <c r="T19" t="s">
        <v>354</v>
      </c>
      <c r="U19" t="s">
        <v>346</v>
      </c>
      <c r="V19" t="s">
        <v>365</v>
      </c>
      <c r="W19" t="s">
        <v>374</v>
      </c>
    </row>
    <row r="20" spans="1:28" s="14" customFormat="1" ht="30" x14ac:dyDescent="0.25">
      <c r="A20" t="s">
        <v>257</v>
      </c>
      <c r="B20" s="32"/>
      <c r="C20" s="32"/>
      <c r="D20" s="32"/>
      <c r="E20" s="78">
        <v>0</v>
      </c>
      <c r="F20" s="32"/>
      <c r="H20" s="3" t="s">
        <v>137</v>
      </c>
      <c r="I20" s="32"/>
      <c r="J20"/>
      <c r="K20" s="32"/>
      <c r="L20" s="32"/>
      <c r="M20" s="14" t="s">
        <v>139</v>
      </c>
      <c r="N20" s="14" t="s">
        <v>138</v>
      </c>
      <c r="O20" s="14">
        <v>19</v>
      </c>
      <c r="P20" s="31" t="str">
        <f t="shared" si="0"/>
        <v>1LB - FL11 West Core 2 L,1LB - FL11 West Core 2 P,1LB - FL11 West Core 1 P,1LB - FL11 West Core 1 Lighting Kitchen,1LB - FL11 West Core 2 DB</v>
      </c>
      <c r="T20" t="s">
        <v>226</v>
      </c>
      <c r="U20" t="s">
        <v>347</v>
      </c>
      <c r="V20" t="s">
        <v>380</v>
      </c>
      <c r="W20" t="s">
        <v>375</v>
      </c>
      <c r="X20" t="s">
        <v>348</v>
      </c>
    </row>
    <row r="21" spans="1:28" s="14" customFormat="1" x14ac:dyDescent="0.25">
      <c r="A21" t="s">
        <v>258</v>
      </c>
      <c r="B21" s="32"/>
      <c r="C21" s="32"/>
      <c r="D21" s="32"/>
      <c r="E21" s="78">
        <v>0</v>
      </c>
      <c r="F21" s="32"/>
      <c r="H21" s="3" t="s">
        <v>137</v>
      </c>
      <c r="I21" s="32"/>
      <c r="J21"/>
      <c r="K21" s="72"/>
      <c r="L21" s="32"/>
      <c r="M21" s="14" t="s">
        <v>139</v>
      </c>
      <c r="N21" s="14" t="s">
        <v>138</v>
      </c>
      <c r="O21" s="14">
        <v>19</v>
      </c>
      <c r="P21" s="31" t="str">
        <f t="shared" si="0"/>
        <v>1LB - FL12 West Core 2 L,1LB - FL12 West Core 2 P,1LB - FL12 West Core 1 P,1LB - FL12 West Core 1 L</v>
      </c>
      <c r="T21" t="s">
        <v>355</v>
      </c>
      <c r="U21" t="s">
        <v>349</v>
      </c>
      <c r="V21" t="s">
        <v>366</v>
      </c>
      <c r="W21" t="s">
        <v>376</v>
      </c>
    </row>
    <row r="22" spans="1:28" s="14" customFormat="1" x14ac:dyDescent="0.25">
      <c r="A22" t="s">
        <v>227</v>
      </c>
      <c r="B22" s="32"/>
      <c r="C22" s="32"/>
      <c r="D22" s="32"/>
      <c r="E22" s="78">
        <v>0</v>
      </c>
      <c r="F22" s="32"/>
      <c r="G22"/>
      <c r="H22" s="3" t="s">
        <v>137</v>
      </c>
      <c r="I22" s="72"/>
      <c r="J22"/>
      <c r="K22" s="32"/>
      <c r="L22" s="32"/>
      <c r="M22" s="14" t="s">
        <v>139</v>
      </c>
      <c r="N22" s="14" t="s">
        <v>138</v>
      </c>
      <c r="O22" s="14">
        <v>19</v>
      </c>
      <c r="P22" s="31" t="str">
        <f t="shared" si="0"/>
        <v>1LB - FL1 East Core 1 L,1LB - FL1 East Core 1 P,1LB - FL1 East Core 2 L,1LB - FL1 East Core 2 P</v>
      </c>
      <c r="T22" t="s">
        <v>381</v>
      </c>
      <c r="U22" t="s">
        <v>190</v>
      </c>
      <c r="V22" t="s">
        <v>192</v>
      </c>
      <c r="W22" t="s">
        <v>191</v>
      </c>
    </row>
    <row r="23" spans="1:28" s="14" customFormat="1" ht="30" x14ac:dyDescent="0.25">
      <c r="A23" t="s">
        <v>228</v>
      </c>
      <c r="B23" s="32"/>
      <c r="C23" s="32"/>
      <c r="D23" s="32"/>
      <c r="E23" s="78">
        <v>0</v>
      </c>
      <c r="F23" s="32"/>
      <c r="H23" s="3" t="s">
        <v>137</v>
      </c>
      <c r="I23" s="32"/>
      <c r="J23"/>
      <c r="K23" s="32"/>
      <c r="L23" s="32"/>
      <c r="M23" s="14" t="s">
        <v>139</v>
      </c>
      <c r="N23" s="14" t="s">
        <v>138</v>
      </c>
      <c r="O23" s="14">
        <v>19</v>
      </c>
      <c r="P23" s="31" t="str">
        <f t="shared" si="0"/>
        <v>1LB - FL2 East Core 1 L,1LB - FL2 East Core 1 P,1LB - FL2 East Core 2 L,1LB - FL2 East Core 2 P,1LB - FL2 West Core 2 L,1LB - FL2 West Core 2 P,1LB - FL2 West Core 1 P,1LB - FL2 West Core 1 L</v>
      </c>
      <c r="T23" t="s">
        <v>194</v>
      </c>
      <c r="U23" t="s">
        <v>193</v>
      </c>
      <c r="V23" t="s">
        <v>196</v>
      </c>
      <c r="W23" t="s">
        <v>195</v>
      </c>
      <c r="X23" t="s">
        <v>334</v>
      </c>
      <c r="Y23" t="s">
        <v>339</v>
      </c>
      <c r="Z23" t="s">
        <v>358</v>
      </c>
      <c r="AA23" t="s">
        <v>367</v>
      </c>
    </row>
    <row r="24" spans="1:28" s="14" customFormat="1" ht="30" x14ac:dyDescent="0.25">
      <c r="A24" t="s">
        <v>229</v>
      </c>
      <c r="B24" s="32"/>
      <c r="C24" s="32"/>
      <c r="D24" s="32"/>
      <c r="E24" s="78">
        <v>0</v>
      </c>
      <c r="F24" s="32"/>
      <c r="H24" s="3" t="s">
        <v>137</v>
      </c>
      <c r="I24" s="72"/>
      <c r="J24"/>
      <c r="K24" s="32"/>
      <c r="L24" s="32"/>
      <c r="M24" s="14" t="s">
        <v>139</v>
      </c>
      <c r="N24" s="14" t="s">
        <v>138</v>
      </c>
      <c r="O24" s="14">
        <v>19</v>
      </c>
      <c r="P24" s="31" t="str">
        <f t="shared" si="0"/>
        <v>1LB - FL3 East Core 1 L,1LB - FL3 East Core 1 P,1LB - FL3 East Core 2 L,1LB - FL3 East Core 2 P,1LB - FL3 West Core 2 L,1LB - FL3 West Core 2 P,1LB - FL3 West Core 1 P,1LB - FL3 West Core 1 L,1LB - FL3 East Core 2 Metering Panel 1</v>
      </c>
      <c r="T24" t="s">
        <v>198</v>
      </c>
      <c r="U24" t="s">
        <v>197</v>
      </c>
      <c r="V24" t="s">
        <v>200</v>
      </c>
      <c r="W24" t="s">
        <v>199</v>
      </c>
      <c r="X24" t="s">
        <v>351</v>
      </c>
      <c r="Y24" t="s">
        <v>350</v>
      </c>
      <c r="Z24" t="s">
        <v>359</v>
      </c>
      <c r="AA24" t="s">
        <v>368</v>
      </c>
      <c r="AB24" t="s">
        <v>201</v>
      </c>
    </row>
    <row r="25" spans="1:28" s="14" customFormat="1" ht="30" x14ac:dyDescent="0.25">
      <c r="A25" t="s">
        <v>230</v>
      </c>
      <c r="B25" s="32"/>
      <c r="C25" s="32"/>
      <c r="D25" s="32"/>
      <c r="E25" s="78">
        <v>0</v>
      </c>
      <c r="F25" s="32"/>
      <c r="H25" s="3" t="s">
        <v>137</v>
      </c>
      <c r="I25" s="72"/>
      <c r="J25"/>
      <c r="K25" s="32"/>
      <c r="L25" s="32"/>
      <c r="M25" s="14" t="s">
        <v>139</v>
      </c>
      <c r="N25" s="14" t="s">
        <v>138</v>
      </c>
      <c r="O25" s="14">
        <v>19</v>
      </c>
      <c r="P25" s="31" t="str">
        <f t="shared" si="0"/>
        <v>1LB - FL4 East Core 1 L,1LB - FL4 East Core 1 P,1LB - FL4 East Core 2 L,1LB - FL4 East Core 2 P,1LB - FL4 West Core 2 L,1LB - FL4 West Core 2 P,1LB - FL4 West Core 1 P,1LB - FL4 West Core 1 L</v>
      </c>
      <c r="T25" t="s">
        <v>203</v>
      </c>
      <c r="U25" t="s">
        <v>202</v>
      </c>
      <c r="V25" t="s">
        <v>205</v>
      </c>
      <c r="W25" t="s">
        <v>204</v>
      </c>
      <c r="X25" t="s">
        <v>335</v>
      </c>
      <c r="Y25" t="s">
        <v>340</v>
      </c>
      <c r="Z25" t="s">
        <v>360</v>
      </c>
      <c r="AA25" t="s">
        <v>369</v>
      </c>
    </row>
    <row r="26" spans="1:28" s="14" customFormat="1" ht="30" x14ac:dyDescent="0.25">
      <c r="A26" t="s">
        <v>231</v>
      </c>
      <c r="B26" s="32"/>
      <c r="C26" s="32"/>
      <c r="D26" s="32"/>
      <c r="E26" s="78">
        <v>0</v>
      </c>
      <c r="F26" s="32"/>
      <c r="H26" s="3" t="s">
        <v>137</v>
      </c>
      <c r="I26" s="72"/>
      <c r="J26"/>
      <c r="K26" s="32"/>
      <c r="L26" s="32"/>
      <c r="M26" s="14" t="s">
        <v>139</v>
      </c>
      <c r="N26" s="14" t="s">
        <v>138</v>
      </c>
      <c r="O26" s="14">
        <v>19</v>
      </c>
      <c r="P26" s="31" t="str">
        <f t="shared" si="0"/>
        <v>1LB - FL5 East Core 1 L,1LB - FL5 East Core 1 P,1LB - FL5 East Core 2 L,1LB - FL5 East Core 2 P,1LB - FL5 West Core 2 L,1LB - FL5 West Core 2 P,1LB - FL5 West Core 1 P,1LB - FL5 West Core 1 L</v>
      </c>
      <c r="T26" t="s">
        <v>207</v>
      </c>
      <c r="U26" t="s">
        <v>206</v>
      </c>
      <c r="V26" t="s">
        <v>209</v>
      </c>
      <c r="W26" t="s">
        <v>208</v>
      </c>
      <c r="X26" t="s">
        <v>336</v>
      </c>
      <c r="Y26" t="s">
        <v>341</v>
      </c>
      <c r="Z26" t="s">
        <v>361</v>
      </c>
      <c r="AA26" t="s">
        <v>370</v>
      </c>
    </row>
    <row r="27" spans="1:28" s="14" customFormat="1" ht="30" x14ac:dyDescent="0.25">
      <c r="A27" t="s">
        <v>232</v>
      </c>
      <c r="B27" s="32"/>
      <c r="C27" s="32"/>
      <c r="D27" s="32"/>
      <c r="E27" s="78">
        <v>0</v>
      </c>
      <c r="F27" s="32"/>
      <c r="H27" s="3" t="s">
        <v>137</v>
      </c>
      <c r="I27" s="72"/>
      <c r="J27"/>
      <c r="K27" s="32"/>
      <c r="L27" s="32"/>
      <c r="M27" s="14" t="s">
        <v>139</v>
      </c>
      <c r="N27" s="14" t="s">
        <v>138</v>
      </c>
      <c r="O27" s="14">
        <v>19</v>
      </c>
      <c r="P27" s="31" t="str">
        <f t="shared" si="0"/>
        <v>1LB - FL6 East Core 1 L,1LB - FL6 East Core 1 P,1LB - FL6 East Core 2 L,1LB - FL6 East Core 2 P,1LB - FL6 West Core 2 L,1LB - FL6 West Core 2 P,1LB - FL6 West Core 1 P,1LB - FL6 West Core 1 L,1LB - FL6 West Core 1 Comms</v>
      </c>
      <c r="T27" t="s">
        <v>211</v>
      </c>
      <c r="U27" t="s">
        <v>210</v>
      </c>
      <c r="V27" t="s">
        <v>213</v>
      </c>
      <c r="W27" t="s">
        <v>212</v>
      </c>
      <c r="X27" t="s">
        <v>352</v>
      </c>
      <c r="Y27" t="s">
        <v>342</v>
      </c>
      <c r="Z27" t="s">
        <v>362</v>
      </c>
      <c r="AA27" t="s">
        <v>371</v>
      </c>
      <c r="AB27" t="s">
        <v>379</v>
      </c>
    </row>
    <row r="28" spans="1:28" s="14" customFormat="1" ht="30" x14ac:dyDescent="0.25">
      <c r="A28" t="s">
        <v>233</v>
      </c>
      <c r="B28" s="32"/>
      <c r="C28" s="32"/>
      <c r="D28" s="32"/>
      <c r="E28" s="78">
        <v>0</v>
      </c>
      <c r="F28" s="32"/>
      <c r="H28" s="3" t="s">
        <v>137</v>
      </c>
      <c r="I28" s="72"/>
      <c r="J28"/>
      <c r="K28" s="32"/>
      <c r="L28" s="32"/>
      <c r="M28" s="14" t="s">
        <v>139</v>
      </c>
      <c r="N28" s="14" t="s">
        <v>138</v>
      </c>
      <c r="O28" s="14">
        <v>19</v>
      </c>
      <c r="P28" s="31" t="str">
        <f t="shared" si="0"/>
        <v>1LB - FL7 East Core 1 L,1LB - FL7 East Core 1 P,1LB - FL7 East Core 2 L,1LB - FL7 East Core 2 P,1LB - FL7 West Core 2 L,1LB - FL7 West Core 2 P,1LB - FL7 West Core 1 P,1LB - FL7 West Core 1 L</v>
      </c>
      <c r="T28" t="s">
        <v>215</v>
      </c>
      <c r="U28" t="s">
        <v>214</v>
      </c>
      <c r="V28" t="s">
        <v>217</v>
      </c>
      <c r="W28" t="s">
        <v>216</v>
      </c>
      <c r="X28" t="s">
        <v>353</v>
      </c>
      <c r="Y28" t="s">
        <v>343</v>
      </c>
      <c r="Z28" t="s">
        <v>377</v>
      </c>
      <c r="AA28" t="s">
        <v>378</v>
      </c>
    </row>
    <row r="29" spans="1:28" s="14" customFormat="1" ht="30" x14ac:dyDescent="0.25">
      <c r="A29" t="s">
        <v>234</v>
      </c>
      <c r="B29" s="32"/>
      <c r="C29" s="32"/>
      <c r="D29" s="32"/>
      <c r="E29" s="78">
        <v>0</v>
      </c>
      <c r="F29" s="32"/>
      <c r="G29"/>
      <c r="H29" s="3" t="s">
        <v>137</v>
      </c>
      <c r="I29" s="32"/>
      <c r="J29"/>
      <c r="K29" s="72"/>
      <c r="L29" s="32"/>
      <c r="M29" s="14" t="s">
        <v>139</v>
      </c>
      <c r="N29" s="14" t="s">
        <v>138</v>
      </c>
      <c r="O29" s="14">
        <v>19</v>
      </c>
      <c r="P29" s="31" t="str">
        <f t="shared" si="0"/>
        <v>1LB - FL8 East Core 1 L,1LB - FL8 East Core 1 P,1LB - FL8 East Core 2 L,1LB - FL8 East Core 2 P,1LB - FL8 West Core 2 L,1LB - FL8 West Core 2 P,1LB - FL8 West Core 1 P,1LB - FL8 West Core 1 L</v>
      </c>
      <c r="T29" t="s">
        <v>219</v>
      </c>
      <c r="U29" t="s">
        <v>218</v>
      </c>
      <c r="V29" t="s">
        <v>221</v>
      </c>
      <c r="W29" t="s">
        <v>220</v>
      </c>
      <c r="X29" t="s">
        <v>337</v>
      </c>
      <c r="Y29" t="s">
        <v>344</v>
      </c>
      <c r="Z29" t="s">
        <v>363</v>
      </c>
      <c r="AA29" t="s">
        <v>372</v>
      </c>
    </row>
    <row r="30" spans="1:28" s="14" customFormat="1" ht="30" x14ac:dyDescent="0.25">
      <c r="A30" t="s">
        <v>235</v>
      </c>
      <c r="B30" s="32"/>
      <c r="C30" s="32"/>
      <c r="D30" s="32"/>
      <c r="E30" s="78">
        <v>0</v>
      </c>
      <c r="F30" s="32"/>
      <c r="G30"/>
      <c r="H30" s="3" t="s">
        <v>137</v>
      </c>
      <c r="I30" s="32"/>
      <c r="J30"/>
      <c r="K30" s="32"/>
      <c r="L30" s="32"/>
      <c r="M30" s="14" t="s">
        <v>139</v>
      </c>
      <c r="N30" s="14" t="s">
        <v>138</v>
      </c>
      <c r="O30" s="14">
        <v>19</v>
      </c>
      <c r="P30" s="31" t="str">
        <f t="shared" si="0"/>
        <v>1LB - FL9 East Core 1 L,1LB - FL9 East Core 1 P,1LB - FL9 East Core 2 L,1LB - FL9 East Core 2 P,1LB - FL9 West Core 2 L,1LB - FL9 West Core 2 P,1LB - FL9 West Core 1 P,1LB - FL9 West Core 1 L</v>
      </c>
      <c r="T30" t="s">
        <v>223</v>
      </c>
      <c r="U30" t="s">
        <v>222</v>
      </c>
      <c r="V30" t="s">
        <v>225</v>
      </c>
      <c r="W30" t="s">
        <v>224</v>
      </c>
      <c r="X30" t="s">
        <v>338</v>
      </c>
      <c r="Y30" t="s">
        <v>345</v>
      </c>
      <c r="Z30" t="s">
        <v>364</v>
      </c>
      <c r="AA30" t="s">
        <v>373</v>
      </c>
    </row>
    <row r="31" spans="1:28" s="14" customFormat="1" x14ac:dyDescent="0.25">
      <c r="A31" t="s">
        <v>236</v>
      </c>
      <c r="B31" s="32"/>
      <c r="C31" s="32"/>
      <c r="D31" s="32"/>
      <c r="E31" s="78">
        <v>0</v>
      </c>
      <c r="F31" s="32"/>
      <c r="G31"/>
      <c r="H31" s="3" t="s">
        <v>137</v>
      </c>
      <c r="I31" s="72"/>
      <c r="J31"/>
      <c r="K31" s="32"/>
      <c r="L31" s="32"/>
      <c r="M31" s="14" t="s">
        <v>139</v>
      </c>
      <c r="N31" s="14" t="s">
        <v>138</v>
      </c>
      <c r="O31" s="14">
        <v>19</v>
      </c>
      <c r="P31" s="31" t="str">
        <f t="shared" si="0"/>
        <v>1LB - FL10 West Core 2 L,1LB - FL10 West Core 2 P,1LB - FL10 West Core 1 P,1LB - FL10 West Core 1 L</v>
      </c>
      <c r="T31" t="s">
        <v>354</v>
      </c>
      <c r="U31" t="s">
        <v>346</v>
      </c>
      <c r="V31" t="s">
        <v>365</v>
      </c>
      <c r="W31" t="s">
        <v>374</v>
      </c>
    </row>
    <row r="32" spans="1:28" s="14" customFormat="1" ht="30" x14ac:dyDescent="0.25">
      <c r="A32" t="s">
        <v>237</v>
      </c>
      <c r="B32" s="32"/>
      <c r="C32" s="32"/>
      <c r="D32" s="32"/>
      <c r="E32" s="78">
        <v>0</v>
      </c>
      <c r="F32" s="32"/>
      <c r="G32"/>
      <c r="H32" s="3" t="s">
        <v>137</v>
      </c>
      <c r="I32" s="72"/>
      <c r="J32"/>
      <c r="K32" s="32"/>
      <c r="L32" s="32"/>
      <c r="M32" s="14" t="s">
        <v>139</v>
      </c>
      <c r="N32" s="14" t="s">
        <v>138</v>
      </c>
      <c r="O32" s="14">
        <v>19</v>
      </c>
      <c r="P32" s="31" t="str">
        <f t="shared" si="0"/>
        <v>1LB - FL11 West Core 2 L,1LB - FL11 West Core 2 P,1LB - FL11 West Core 1 P,1LB - FL11 West Core 1 Lighting Kitchen,1LB - FL11 West Core 2 DB</v>
      </c>
      <c r="T32" t="s">
        <v>226</v>
      </c>
      <c r="U32" t="s">
        <v>347</v>
      </c>
      <c r="V32" t="s">
        <v>380</v>
      </c>
      <c r="W32" t="s">
        <v>375</v>
      </c>
      <c r="X32" t="s">
        <v>348</v>
      </c>
    </row>
    <row r="33" spans="1:28" s="14" customFormat="1" x14ac:dyDescent="0.25">
      <c r="A33" t="s">
        <v>238</v>
      </c>
      <c r="B33" s="32"/>
      <c r="C33" s="32"/>
      <c r="D33" s="32"/>
      <c r="E33" s="78">
        <v>0</v>
      </c>
      <c r="F33" s="32"/>
      <c r="G33"/>
      <c r="H33" s="3" t="s">
        <v>137</v>
      </c>
      <c r="I33" s="72"/>
      <c r="J33"/>
      <c r="K33" s="32"/>
      <c r="L33" s="32"/>
      <c r="M33" s="14" t="s">
        <v>139</v>
      </c>
      <c r="N33" s="14" t="s">
        <v>138</v>
      </c>
      <c r="O33" s="14">
        <v>19</v>
      </c>
      <c r="P33" s="31" t="str">
        <f t="shared" si="0"/>
        <v>1LB - FL12 West Core 2 L,1LB - FL12 West Core 2 P,1LB - FL12 West Core 1 P,1LB - FL12 West Core 1 L</v>
      </c>
      <c r="T33" t="s">
        <v>355</v>
      </c>
      <c r="U33" t="s">
        <v>349</v>
      </c>
      <c r="V33" t="s">
        <v>366</v>
      </c>
      <c r="W33" t="s">
        <v>376</v>
      </c>
    </row>
    <row r="34" spans="1:28" s="14" customFormat="1" x14ac:dyDescent="0.25">
      <c r="A34" s="82" t="s">
        <v>384</v>
      </c>
      <c r="B34" s="32"/>
      <c r="C34" s="32"/>
      <c r="D34" s="32"/>
      <c r="E34" s="78">
        <v>0</v>
      </c>
      <c r="F34" s="32"/>
      <c r="G34"/>
      <c r="H34" s="3" t="s">
        <v>137</v>
      </c>
      <c r="I34" s="72"/>
      <c r="J34"/>
      <c r="K34" s="32"/>
      <c r="L34" s="32"/>
      <c r="M34" s="14" t="s">
        <v>139</v>
      </c>
      <c r="N34" s="14" t="s">
        <v>138</v>
      </c>
      <c r="O34" s="14">
        <v>19</v>
      </c>
      <c r="P34" s="31" t="str">
        <f t="shared" si="0"/>
        <v>1LB - TX-L-01,1LB - TX-L02</v>
      </c>
      <c r="T34" t="s">
        <v>332</v>
      </c>
      <c r="U34" t="s">
        <v>333</v>
      </c>
    </row>
    <row r="35" spans="1:28" s="14" customFormat="1" x14ac:dyDescent="0.25">
      <c r="A35" s="73"/>
      <c r="B35" s="32"/>
      <c r="C35" s="32"/>
      <c r="D35" s="32"/>
      <c r="E35" s="80"/>
      <c r="F35" s="32"/>
      <c r="H35" s="66"/>
      <c r="I35" s="72"/>
      <c r="J35"/>
      <c r="K35" s="32"/>
      <c r="L35" s="32"/>
      <c r="O35" s="25"/>
    </row>
    <row r="36" spans="1:28" s="14" customFormat="1" x14ac:dyDescent="0.25">
      <c r="A36" s="73"/>
      <c r="B36" s="32"/>
      <c r="C36" s="32"/>
      <c r="D36" s="32"/>
      <c r="E36" s="80"/>
      <c r="F36" s="32"/>
      <c r="H36" s="66"/>
      <c r="I36" s="72"/>
      <c r="J36"/>
      <c r="K36" s="32"/>
      <c r="L36" s="32"/>
      <c r="O36" s="25"/>
    </row>
    <row r="37" spans="1:28" s="14" customFormat="1" x14ac:dyDescent="0.25">
      <c r="A37" s="73"/>
      <c r="B37" s="32"/>
      <c r="C37" s="32"/>
      <c r="D37" s="32"/>
      <c r="E37" s="80"/>
      <c r="F37" s="32"/>
      <c r="H37" s="66"/>
      <c r="I37" s="72"/>
      <c r="J37"/>
      <c r="K37" s="32"/>
      <c r="L37" s="32"/>
      <c r="O37" s="25"/>
    </row>
    <row r="38" spans="1:28" s="14" customFormat="1" x14ac:dyDescent="0.25">
      <c r="B38" s="30"/>
      <c r="C38" s="30"/>
      <c r="D38" s="30"/>
      <c r="E38" s="78"/>
      <c r="F38" s="30"/>
      <c r="G38" s="28"/>
      <c r="H38" s="66"/>
      <c r="J38" s="64"/>
      <c r="K38" s="30"/>
      <c r="L38" s="30"/>
      <c r="O38" s="53"/>
      <c r="P38" s="30"/>
      <c r="Q38" s="65"/>
      <c r="R38" s="62"/>
      <c r="T38" s="64"/>
      <c r="U38" s="11"/>
    </row>
    <row r="39" spans="1:28" s="14" customFormat="1" x14ac:dyDescent="0.25">
      <c r="B39" s="30"/>
      <c r="C39" s="30"/>
      <c r="D39" s="30"/>
      <c r="E39" s="78"/>
      <c r="F39" s="30"/>
      <c r="G39" s="28"/>
      <c r="H39" s="66"/>
      <c r="J39" s="64"/>
      <c r="K39" s="30"/>
      <c r="L39" s="30"/>
      <c r="O39" s="53"/>
      <c r="P39" s="30"/>
      <c r="Q39" s="65"/>
      <c r="R39" s="62"/>
      <c r="T39" s="64"/>
      <c r="U39" s="11"/>
    </row>
    <row r="40" spans="1:28" s="14" customFormat="1" x14ac:dyDescent="0.25">
      <c r="B40" s="30"/>
      <c r="C40" s="30"/>
      <c r="D40" s="30"/>
      <c r="E40" s="78"/>
      <c r="F40" s="30"/>
      <c r="G40" s="28"/>
      <c r="H40" s="66"/>
      <c r="J40" s="64"/>
      <c r="K40" s="30"/>
      <c r="L40" s="30"/>
      <c r="O40" s="53"/>
      <c r="P40" s="30"/>
      <c r="Q40" s="65"/>
      <c r="R40" s="62"/>
      <c r="T40" s="64"/>
      <c r="U40" s="11"/>
    </row>
    <row r="41" spans="1:28" s="14" customFormat="1" x14ac:dyDescent="0.25">
      <c r="B41" s="30"/>
      <c r="C41" s="30"/>
      <c r="D41" s="30"/>
      <c r="E41" s="78"/>
      <c r="F41" s="30"/>
      <c r="G41" s="28"/>
      <c r="H41" s="66"/>
      <c r="J41" s="64"/>
      <c r="K41" s="30"/>
      <c r="L41" s="30"/>
      <c r="O41" s="53"/>
      <c r="P41" s="30"/>
      <c r="Q41" s="30"/>
      <c r="R41" s="62"/>
      <c r="T41" s="64"/>
      <c r="U41" s="11"/>
    </row>
    <row r="42" spans="1:28" s="14" customFormat="1" x14ac:dyDescent="0.25">
      <c r="B42" s="30"/>
      <c r="C42" s="30"/>
      <c r="D42" s="30"/>
      <c r="E42" s="78"/>
      <c r="F42" s="30"/>
      <c r="G42" s="28"/>
      <c r="H42" s="66"/>
      <c r="J42" s="64"/>
      <c r="K42" s="30"/>
      <c r="L42" s="30"/>
      <c r="O42" s="53"/>
      <c r="P42" s="30"/>
      <c r="Q42" s="30"/>
      <c r="R42" s="62"/>
      <c r="T42" s="64"/>
      <c r="U42" s="11"/>
    </row>
    <row r="43" spans="1:28" s="14" customFormat="1" x14ac:dyDescent="0.25">
      <c r="B43" s="30"/>
      <c r="C43" s="30"/>
      <c r="D43" s="30"/>
      <c r="E43" s="78"/>
      <c r="F43" s="30"/>
      <c r="G43" s="28"/>
      <c r="H43" s="66"/>
      <c r="J43" s="64"/>
      <c r="K43" s="30"/>
      <c r="L43" s="30"/>
      <c r="O43" s="53"/>
      <c r="P43" s="30"/>
      <c r="Q43" s="30"/>
      <c r="R43" s="62"/>
      <c r="T43" s="64"/>
      <c r="U43" s="11"/>
    </row>
    <row r="44" spans="1:28" s="14" customFormat="1" x14ac:dyDescent="0.25">
      <c r="B44" s="30"/>
      <c r="C44" s="30"/>
      <c r="D44" s="30"/>
      <c r="E44" s="78"/>
      <c r="F44" s="30"/>
      <c r="G44" s="28"/>
      <c r="H44" s="66"/>
      <c r="J44" s="64"/>
      <c r="K44" s="30"/>
      <c r="L44" s="30"/>
      <c r="O44" s="53"/>
      <c r="P44" s="30"/>
      <c r="Q44" s="30"/>
      <c r="R44" s="62"/>
      <c r="T44" s="64"/>
      <c r="U44" s="11"/>
    </row>
    <row r="45" spans="1:28" s="14" customFormat="1" x14ac:dyDescent="0.25">
      <c r="B45" s="30"/>
      <c r="C45" s="30"/>
      <c r="D45" s="30"/>
      <c r="E45" s="78"/>
      <c r="F45" s="30"/>
      <c r="G45" s="28"/>
      <c r="H45" s="66"/>
      <c r="J45" s="64"/>
      <c r="K45" s="30"/>
      <c r="L45" s="30"/>
      <c r="O45" s="53"/>
      <c r="P45" s="30"/>
      <c r="Q45" s="30"/>
      <c r="R45" s="62"/>
      <c r="T45" s="64"/>
      <c r="U45" s="11"/>
    </row>
    <row r="46" spans="1:28" s="14" customFormat="1" x14ac:dyDescent="0.25">
      <c r="B46" s="30"/>
      <c r="C46" s="30"/>
      <c r="D46" s="30"/>
      <c r="E46" s="78"/>
      <c r="F46" s="30"/>
      <c r="G46" s="28"/>
      <c r="H46" s="66"/>
      <c r="J46" s="64"/>
      <c r="K46" s="30"/>
      <c r="L46" s="30"/>
      <c r="O46" s="53"/>
      <c r="P46" s="30"/>
      <c r="Q46" s="30"/>
      <c r="R46" s="62"/>
      <c r="T46" s="64"/>
      <c r="U46" s="11"/>
    </row>
    <row r="47" spans="1:28" s="14" customFormat="1" x14ac:dyDescent="0.25">
      <c r="B47" s="30"/>
      <c r="C47" s="30"/>
      <c r="D47" s="30"/>
      <c r="E47" s="78"/>
      <c r="F47" s="30"/>
      <c r="G47" s="28"/>
      <c r="H47" s="66"/>
      <c r="J47" s="64"/>
      <c r="K47" s="30"/>
      <c r="L47" s="30"/>
      <c r="O47" s="53"/>
      <c r="P47" s="30"/>
      <c r="Q47" s="30"/>
      <c r="R47" s="62"/>
      <c r="T47" s="64"/>
      <c r="U47" s="11"/>
    </row>
    <row r="48" spans="1:28" s="14" customFormat="1" x14ac:dyDescent="0.25">
      <c r="B48" s="30"/>
      <c r="C48" s="30"/>
      <c r="D48" s="30"/>
      <c r="E48" s="78"/>
      <c r="F48" s="30"/>
      <c r="G48" s="28"/>
      <c r="H48" s="66"/>
      <c r="J48" s="64"/>
      <c r="K48" s="30"/>
      <c r="L48" s="30"/>
      <c r="O48" s="53"/>
      <c r="P48" s="30"/>
      <c r="Q48" s="30"/>
      <c r="R48" s="62"/>
      <c r="T48" s="64"/>
      <c r="U48" s="11"/>
      <c r="AB48" s="11"/>
    </row>
    <row r="49" spans="1:29" s="14" customFormat="1" x14ac:dyDescent="0.25">
      <c r="B49" s="30"/>
      <c r="C49" s="30"/>
      <c r="D49" s="30"/>
      <c r="E49" s="78"/>
      <c r="F49" s="30"/>
      <c r="G49" s="28"/>
      <c r="H49" s="66"/>
      <c r="J49" s="64"/>
      <c r="K49" s="30"/>
      <c r="L49" s="30"/>
      <c r="O49" s="53"/>
      <c r="P49" s="30"/>
      <c r="Q49" s="30"/>
      <c r="R49" s="62"/>
      <c r="T49" s="64"/>
      <c r="U49" s="11"/>
      <c r="AB49" s="11"/>
    </row>
    <row r="50" spans="1:29" s="14" customFormat="1" x14ac:dyDescent="0.25">
      <c r="B50" s="30"/>
      <c r="C50" s="30"/>
      <c r="D50" s="30"/>
      <c r="E50" s="78"/>
      <c r="F50" s="30"/>
      <c r="G50" s="28"/>
      <c r="H50" s="66"/>
      <c r="J50" s="64"/>
      <c r="K50" s="30"/>
      <c r="L50" s="30"/>
      <c r="O50" s="53"/>
      <c r="P50" s="30"/>
      <c r="Q50" s="30"/>
      <c r="R50" s="62"/>
      <c r="T50" s="64"/>
      <c r="U50" s="11"/>
      <c r="AB50" s="11"/>
      <c r="AC50" s="11"/>
    </row>
    <row r="51" spans="1:29" s="14" customFormat="1" x14ac:dyDescent="0.25">
      <c r="B51" s="30"/>
      <c r="C51" s="30"/>
      <c r="D51" s="30"/>
      <c r="E51" s="78"/>
      <c r="F51" s="30"/>
      <c r="G51" s="28"/>
      <c r="H51" s="66"/>
      <c r="J51" s="64"/>
      <c r="K51" s="30"/>
      <c r="L51" s="30"/>
      <c r="O51" s="53"/>
      <c r="P51" s="30"/>
      <c r="Q51" s="30"/>
      <c r="R51" s="62"/>
      <c r="T51" s="64"/>
      <c r="U51" s="11"/>
      <c r="AB51" s="11"/>
      <c r="AC51" s="11"/>
    </row>
    <row r="52" spans="1:29" s="14" customFormat="1" x14ac:dyDescent="0.25">
      <c r="B52" s="30"/>
      <c r="C52" s="30"/>
      <c r="D52" s="30"/>
      <c r="E52" s="78"/>
      <c r="F52" s="30"/>
      <c r="G52" s="28"/>
      <c r="H52" s="66"/>
      <c r="J52" s="64"/>
      <c r="K52" s="30"/>
      <c r="L52" s="30"/>
      <c r="O52" s="53"/>
      <c r="P52" s="30"/>
      <c r="Q52" s="65"/>
      <c r="R52" s="62"/>
      <c r="T52" s="64"/>
      <c r="U52" s="11"/>
      <c r="AB52" s="11"/>
      <c r="AC52" s="11"/>
    </row>
    <row r="53" spans="1:29" s="14" customFormat="1" x14ac:dyDescent="0.25">
      <c r="B53" s="30"/>
      <c r="C53" s="30"/>
      <c r="D53" s="30"/>
      <c r="E53" s="78"/>
      <c r="F53" s="30"/>
      <c r="G53" s="28"/>
      <c r="H53" s="66"/>
      <c r="J53" s="64"/>
      <c r="K53" s="30"/>
      <c r="L53" s="30"/>
      <c r="O53" s="53"/>
      <c r="P53" s="30"/>
      <c r="Q53" s="30"/>
      <c r="R53" s="62"/>
      <c r="T53" s="64"/>
      <c r="U53" s="11"/>
      <c r="AB53" s="11"/>
      <c r="AC53" s="11"/>
    </row>
    <row r="54" spans="1:29" s="14" customFormat="1" x14ac:dyDescent="0.25">
      <c r="A54" s="69"/>
      <c r="B54" s="30"/>
      <c r="C54" s="30"/>
      <c r="D54" s="30"/>
      <c r="E54" s="78"/>
      <c r="F54" s="30"/>
      <c r="G54" s="28"/>
      <c r="H54" s="3"/>
      <c r="J54" s="64"/>
      <c r="K54" s="30"/>
      <c r="L54" s="59"/>
      <c r="O54" s="53"/>
      <c r="Q54" s="30"/>
      <c r="R54" s="62"/>
      <c r="AB54" s="11"/>
      <c r="AC54" s="11"/>
    </row>
    <row r="55" spans="1:29" s="14" customFormat="1" x14ac:dyDescent="0.25">
      <c r="A55" s="69"/>
      <c r="B55" s="30"/>
      <c r="C55" s="30"/>
      <c r="D55" s="30"/>
      <c r="E55" s="78"/>
      <c r="F55" s="30"/>
      <c r="G55" s="28"/>
      <c r="H55" s="3"/>
      <c r="J55" s="64"/>
      <c r="K55" s="30"/>
      <c r="L55" s="59"/>
      <c r="O55" s="53"/>
      <c r="Q55" s="30"/>
      <c r="R55" s="62"/>
      <c r="W55" s="14" t="s">
        <v>136</v>
      </c>
      <c r="AB55" s="11"/>
      <c r="AC55" s="11"/>
    </row>
    <row r="56" spans="1:29" s="14" customFormat="1" x14ac:dyDescent="0.25">
      <c r="A56" s="69"/>
      <c r="B56" s="30"/>
      <c r="C56" s="30"/>
      <c r="D56" s="30"/>
      <c r="E56" s="78"/>
      <c r="F56" s="30"/>
      <c r="G56" s="28"/>
      <c r="H56" s="3"/>
      <c r="J56" s="64"/>
      <c r="K56" s="30"/>
      <c r="L56" s="59"/>
      <c r="O56" s="53"/>
      <c r="Q56" s="30"/>
      <c r="R56" s="62"/>
      <c r="AB56" s="11"/>
      <c r="AC56" s="11"/>
    </row>
    <row r="57" spans="1:29" s="14" customFormat="1" x14ac:dyDescent="0.25">
      <c r="A57" s="69"/>
      <c r="B57" s="30"/>
      <c r="C57" s="30"/>
      <c r="D57" s="30"/>
      <c r="E57" s="78"/>
      <c r="F57" s="30"/>
      <c r="G57" s="28"/>
      <c r="H57" s="3"/>
      <c r="J57" s="64"/>
      <c r="K57" s="30"/>
      <c r="L57" s="59"/>
      <c r="O57" s="53"/>
      <c r="Q57" s="30"/>
      <c r="R57" s="62"/>
      <c r="U57" s="11"/>
      <c r="AB57" s="11"/>
      <c r="AC57" s="11"/>
    </row>
    <row r="58" spans="1:29" s="14" customFormat="1" x14ac:dyDescent="0.25">
      <c r="A58" s="69"/>
      <c r="B58" s="30"/>
      <c r="C58" s="30"/>
      <c r="D58" s="30"/>
      <c r="E58" s="78"/>
      <c r="F58" s="30"/>
      <c r="G58" s="28"/>
      <c r="H58" s="3"/>
      <c r="J58" s="64"/>
      <c r="K58" s="30"/>
      <c r="L58" s="59"/>
      <c r="O58" s="53"/>
      <c r="Q58" s="30"/>
      <c r="R58" s="62"/>
      <c r="AB58" s="11"/>
      <c r="AC58" s="11"/>
    </row>
    <row r="59" spans="1:29" s="14" customFormat="1" x14ac:dyDescent="0.25">
      <c r="A59" s="69"/>
      <c r="B59" s="30"/>
      <c r="C59" s="30"/>
      <c r="D59" s="30"/>
      <c r="E59" s="78"/>
      <c r="F59" s="30"/>
      <c r="G59" s="28"/>
      <c r="H59" s="3"/>
      <c r="J59" s="64"/>
      <c r="K59" s="30"/>
      <c r="L59" s="59"/>
      <c r="O59" s="53"/>
      <c r="Q59" s="30"/>
      <c r="R59" s="62"/>
      <c r="AB59" s="11"/>
      <c r="AC59" s="11"/>
    </row>
    <row r="60" spans="1:29" s="14" customFormat="1" x14ac:dyDescent="0.25">
      <c r="A60" s="69"/>
      <c r="B60" s="30"/>
      <c r="C60" s="30"/>
      <c r="D60" s="30"/>
      <c r="E60" s="78"/>
      <c r="F60" s="30"/>
      <c r="G60" s="28"/>
      <c r="H60" s="3"/>
      <c r="J60" s="64"/>
      <c r="K60" s="30"/>
      <c r="L60" s="59"/>
      <c r="O60" s="53"/>
      <c r="Q60" s="30"/>
      <c r="R60" s="62"/>
      <c r="AB60" s="11"/>
      <c r="AC60" s="11"/>
    </row>
    <row r="61" spans="1:29" s="14" customFormat="1" x14ac:dyDescent="0.25">
      <c r="A61" s="69"/>
      <c r="B61" s="30"/>
      <c r="C61" s="30"/>
      <c r="D61" s="30"/>
      <c r="E61" s="78"/>
      <c r="F61" s="30"/>
      <c r="G61" s="28"/>
      <c r="H61" s="3"/>
      <c r="J61" s="64"/>
      <c r="K61" s="30"/>
      <c r="L61" s="59"/>
      <c r="O61" s="53"/>
      <c r="Q61" s="30"/>
      <c r="R61" s="62"/>
      <c r="AB61" s="11"/>
      <c r="AC61" s="11"/>
    </row>
    <row r="62" spans="1:29" s="14" customFormat="1" x14ac:dyDescent="0.25">
      <c r="A62" s="69"/>
      <c r="B62" s="30"/>
      <c r="C62" s="30"/>
      <c r="D62" s="30"/>
      <c r="E62" s="78"/>
      <c r="F62" s="30"/>
      <c r="G62" s="28"/>
      <c r="H62" s="3"/>
      <c r="J62" s="64"/>
      <c r="K62" s="30"/>
      <c r="L62" s="59"/>
      <c r="O62" s="53"/>
      <c r="Q62" s="30"/>
      <c r="R62" s="62"/>
      <c r="AB62" s="11"/>
      <c r="AC62" s="11"/>
    </row>
    <row r="63" spans="1:29" s="14" customFormat="1" x14ac:dyDescent="0.25">
      <c r="A63" s="69"/>
      <c r="B63" s="66"/>
      <c r="C63" s="59"/>
      <c r="D63" s="59"/>
      <c r="E63" s="79"/>
      <c r="F63" s="59"/>
      <c r="G63" s="60"/>
      <c r="H63" s="66"/>
      <c r="I63" s="66"/>
      <c r="J63" s="64"/>
      <c r="K63" s="30"/>
      <c r="L63" s="59"/>
      <c r="O63" s="58"/>
      <c r="Q63" s="58"/>
      <c r="R63" s="67"/>
      <c r="S63" s="66"/>
      <c r="U63" s="66"/>
      <c r="AB63" s="11"/>
      <c r="AC63" s="11"/>
    </row>
    <row r="64" spans="1:29" s="14" customFormat="1" x14ac:dyDescent="0.25">
      <c r="A64" s="69"/>
      <c r="B64" s="66"/>
      <c r="C64" s="59"/>
      <c r="D64" s="59"/>
      <c r="E64" s="79"/>
      <c r="F64" s="59"/>
      <c r="G64" s="60"/>
      <c r="H64" s="66"/>
      <c r="I64" s="66"/>
      <c r="J64" s="64"/>
      <c r="K64" s="30"/>
      <c r="L64" s="59"/>
      <c r="O64" s="58"/>
      <c r="P64" s="58"/>
      <c r="Q64" s="58"/>
      <c r="R64" s="67"/>
      <c r="S64" s="66"/>
      <c r="T64" s="66"/>
      <c r="AB64" s="11"/>
      <c r="AC64" s="11"/>
    </row>
    <row r="65" spans="1:29" s="14" customFormat="1" x14ac:dyDescent="0.25">
      <c r="A65" s="69"/>
      <c r="B65" s="66"/>
      <c r="C65" s="59"/>
      <c r="D65" s="59"/>
      <c r="E65" s="79"/>
      <c r="F65" s="59"/>
      <c r="G65" s="60"/>
      <c r="H65" s="66"/>
      <c r="I65" s="66"/>
      <c r="J65" s="64"/>
      <c r="K65" s="30"/>
      <c r="L65" s="59"/>
      <c r="O65" s="58"/>
      <c r="P65" s="58"/>
      <c r="Q65" s="58"/>
      <c r="R65" s="67"/>
      <c r="S65" s="66"/>
      <c r="T65" s="66"/>
      <c r="U65" s="66"/>
      <c r="AB65" s="11"/>
      <c r="AC65" s="11"/>
    </row>
    <row r="66" spans="1:29" s="14" customFormat="1" x14ac:dyDescent="0.25">
      <c r="A66" s="69"/>
      <c r="B66" s="66"/>
      <c r="C66" s="59"/>
      <c r="D66" s="59"/>
      <c r="E66" s="79"/>
      <c r="F66" s="59"/>
      <c r="G66" s="60"/>
      <c r="H66" s="66"/>
      <c r="I66" s="66"/>
      <c r="J66" s="64"/>
      <c r="K66" s="30"/>
      <c r="L66" s="59"/>
      <c r="O66" s="58"/>
      <c r="P66" s="58"/>
      <c r="Q66" s="58"/>
      <c r="R66" s="67"/>
      <c r="S66" s="66"/>
      <c r="T66" s="66"/>
      <c r="V66" s="66"/>
      <c r="W66" s="66"/>
      <c r="AB66" s="11"/>
    </row>
    <row r="67" spans="1:29" s="14" customFormat="1" x14ac:dyDescent="0.25">
      <c r="A67" s="69"/>
      <c r="B67" s="66"/>
      <c r="C67" s="59"/>
      <c r="D67" s="59"/>
      <c r="E67" s="79"/>
      <c r="F67" s="59"/>
      <c r="G67" s="60"/>
      <c r="H67" s="66"/>
      <c r="I67" s="66"/>
      <c r="J67" s="64"/>
      <c r="K67" s="30"/>
      <c r="L67" s="59"/>
      <c r="O67" s="58"/>
      <c r="P67" s="58"/>
      <c r="Q67" s="58"/>
      <c r="R67" s="66"/>
      <c r="S67" s="66"/>
      <c r="T67" s="66"/>
      <c r="V67" s="66"/>
      <c r="W67" s="66"/>
      <c r="AB67" s="11"/>
    </row>
    <row r="68" spans="1:29" s="14" customFormat="1" x14ac:dyDescent="0.25">
      <c r="A68" s="76"/>
      <c r="B68" s="68"/>
      <c r="C68" s="60"/>
      <c r="D68" s="59"/>
      <c r="E68" s="79"/>
      <c r="F68" s="66"/>
      <c r="G68" s="60"/>
      <c r="H68" s="66"/>
      <c r="I68" s="66"/>
      <c r="J68" s="64"/>
      <c r="K68" s="30"/>
      <c r="L68" s="59"/>
      <c r="O68" s="58"/>
      <c r="P68" s="58"/>
      <c r="Q68" s="58"/>
      <c r="R68" s="66"/>
      <c r="S68" s="66"/>
      <c r="T68" s="66"/>
      <c r="U68" s="66"/>
      <c r="W68" s="66"/>
      <c r="AB68" s="11"/>
    </row>
    <row r="69" spans="1:29" s="14" customFormat="1" x14ac:dyDescent="0.25">
      <c r="A69" s="76"/>
      <c r="B69" s="68"/>
      <c r="C69" s="60"/>
      <c r="D69" s="59"/>
      <c r="E69" s="79"/>
      <c r="F69" s="66"/>
      <c r="G69" s="66"/>
      <c r="H69" s="66"/>
      <c r="I69" s="66"/>
      <c r="J69" s="64"/>
      <c r="K69" s="30"/>
      <c r="L69" s="59"/>
      <c r="O69" s="58"/>
      <c r="P69" s="58"/>
      <c r="Q69" s="58"/>
      <c r="R69" s="66"/>
      <c r="S69" s="66"/>
      <c r="T69" s="66"/>
      <c r="U69" s="66"/>
      <c r="V69" s="66"/>
      <c r="W69" s="66"/>
      <c r="AB69" s="11"/>
    </row>
    <row r="70" spans="1:29" s="14" customFormat="1" x14ac:dyDescent="0.25">
      <c r="A70" s="76"/>
      <c r="B70" s="68"/>
      <c r="C70" s="60"/>
      <c r="D70" s="59"/>
      <c r="E70" s="79"/>
      <c r="F70" s="66"/>
      <c r="G70" s="66"/>
      <c r="H70" s="66"/>
      <c r="I70" s="66"/>
      <c r="J70" s="64"/>
      <c r="K70" s="30"/>
      <c r="L70" s="59"/>
      <c r="O70" s="58"/>
      <c r="P70" s="58"/>
      <c r="Q70" s="58"/>
      <c r="R70" s="66"/>
      <c r="S70" s="66"/>
      <c r="T70" s="66"/>
      <c r="U70" s="66"/>
      <c r="V70" s="66"/>
      <c r="W70" s="66"/>
      <c r="AB70" s="11"/>
    </row>
    <row r="71" spans="1:29" s="14" customFormat="1" x14ac:dyDescent="0.25">
      <c r="A71" s="76"/>
      <c r="B71" s="68"/>
      <c r="C71" s="60"/>
      <c r="D71" s="59"/>
      <c r="E71" s="79"/>
      <c r="F71" s="66"/>
      <c r="G71" s="66"/>
      <c r="H71" s="66"/>
      <c r="I71" s="66"/>
      <c r="J71" s="64"/>
      <c r="K71" s="30"/>
      <c r="L71" s="59"/>
      <c r="O71" s="69"/>
      <c r="P71" s="66"/>
      <c r="Q71" s="66"/>
      <c r="R71" s="66"/>
      <c r="S71" s="66"/>
      <c r="T71" s="66"/>
      <c r="U71" s="66"/>
      <c r="W71" s="66"/>
      <c r="AB71" s="11"/>
    </row>
    <row r="72" spans="1:29" s="14" customFormat="1" x14ac:dyDescent="0.25">
      <c r="A72" s="76"/>
      <c r="B72" s="68"/>
      <c r="C72" s="60"/>
      <c r="D72" s="59"/>
      <c r="E72" s="79"/>
      <c r="F72" s="66"/>
      <c r="G72" s="66"/>
      <c r="H72" s="66"/>
      <c r="I72" s="66"/>
      <c r="J72" s="64"/>
      <c r="K72" s="30"/>
      <c r="L72" s="59"/>
      <c r="O72" s="69"/>
      <c r="P72" s="66"/>
      <c r="Q72" s="66"/>
      <c r="R72" s="66"/>
      <c r="S72" s="66"/>
      <c r="T72" s="66"/>
      <c r="U72" s="66"/>
      <c r="V72" s="66"/>
      <c r="W72" s="66"/>
      <c r="AB72" s="11"/>
    </row>
    <row r="73" spans="1:29" s="14" customFormat="1" x14ac:dyDescent="0.25">
      <c r="A73" s="76"/>
      <c r="B73" s="68"/>
      <c r="C73" s="60"/>
      <c r="D73" s="59"/>
      <c r="E73" s="79"/>
      <c r="F73" s="66"/>
      <c r="G73" s="66"/>
      <c r="H73" s="66"/>
      <c r="I73" s="66"/>
      <c r="J73" s="64"/>
      <c r="K73" s="30"/>
      <c r="L73" s="59"/>
      <c r="O73" s="69"/>
      <c r="P73" s="66"/>
      <c r="Q73" s="66"/>
      <c r="R73" s="66"/>
      <c r="S73" s="66"/>
      <c r="T73" s="66"/>
      <c r="U73" s="66"/>
      <c r="V73" s="66"/>
      <c r="W73" s="66"/>
      <c r="AB73" s="11"/>
    </row>
    <row r="74" spans="1:29" s="14" customFormat="1" x14ac:dyDescent="0.25">
      <c r="A74" s="76"/>
      <c r="B74" s="68"/>
      <c r="C74" s="60"/>
      <c r="D74" s="59"/>
      <c r="E74" s="79"/>
      <c r="F74" s="66"/>
      <c r="G74" s="66"/>
      <c r="H74" s="66"/>
      <c r="I74" s="66"/>
      <c r="J74" s="64"/>
      <c r="K74" s="30"/>
      <c r="L74" s="59"/>
      <c r="O74" s="69"/>
      <c r="P74" s="66"/>
      <c r="Q74" s="66"/>
      <c r="R74" s="66"/>
      <c r="S74" s="66"/>
      <c r="T74" s="66"/>
      <c r="U74" s="66"/>
      <c r="V74" s="66"/>
      <c r="W74" s="66"/>
      <c r="AB74" s="11"/>
    </row>
    <row r="75" spans="1:29" s="14" customFormat="1" x14ac:dyDescent="0.25">
      <c r="A75" s="76"/>
      <c r="B75" s="68"/>
      <c r="C75" s="60"/>
      <c r="D75" s="59"/>
      <c r="E75" s="79"/>
      <c r="F75" s="66"/>
      <c r="G75" s="66"/>
      <c r="H75" s="66"/>
      <c r="I75" s="66"/>
      <c r="J75" s="64"/>
      <c r="K75" s="30"/>
      <c r="L75" s="59"/>
      <c r="O75" s="69"/>
      <c r="P75" s="66"/>
      <c r="Q75" s="66"/>
      <c r="R75" s="66"/>
      <c r="S75" s="66"/>
      <c r="T75" s="66"/>
      <c r="U75" s="66"/>
      <c r="V75" s="66"/>
      <c r="W75" s="66"/>
      <c r="AB75" s="11"/>
    </row>
    <row r="76" spans="1:29" s="14" customFormat="1" x14ac:dyDescent="0.25">
      <c r="A76" s="76"/>
      <c r="B76" s="68"/>
      <c r="C76" s="60"/>
      <c r="D76" s="59"/>
      <c r="E76" s="79"/>
      <c r="F76" s="66"/>
      <c r="G76" s="66"/>
      <c r="H76" s="66"/>
      <c r="I76" s="66"/>
      <c r="J76" s="64"/>
      <c r="K76" s="30"/>
      <c r="L76" s="59"/>
      <c r="O76" s="71"/>
      <c r="P76" s="71"/>
      <c r="Q76" s="66"/>
      <c r="R76" s="66"/>
      <c r="S76" s="66"/>
      <c r="T76" s="66"/>
      <c r="U76" s="66"/>
      <c r="V76" s="66"/>
      <c r="W76" s="66"/>
      <c r="AB76" s="11"/>
    </row>
    <row r="77" spans="1:29" s="14" customFormat="1" x14ac:dyDescent="0.25">
      <c r="A77" s="76"/>
      <c r="B77" s="68"/>
      <c r="C77" s="60"/>
      <c r="D77" s="59"/>
      <c r="E77" s="79"/>
      <c r="F77" s="66"/>
      <c r="G77" s="66"/>
      <c r="H77" s="66"/>
      <c r="I77" s="66"/>
      <c r="J77" s="64"/>
      <c r="K77" s="30"/>
      <c r="L77" s="59"/>
      <c r="O77" s="71"/>
      <c r="P77" s="71"/>
      <c r="Q77" s="70"/>
      <c r="R77" s="66"/>
      <c r="S77" s="66"/>
      <c r="T77" s="66"/>
      <c r="V77" s="66"/>
      <c r="AB77" s="11"/>
    </row>
    <row r="78" spans="1:29" s="14" customFormat="1" x14ac:dyDescent="0.25">
      <c r="A78" s="73"/>
      <c r="B78" s="32"/>
      <c r="C78" s="32"/>
      <c r="D78" s="32"/>
      <c r="E78" s="80"/>
      <c r="F78" s="32"/>
      <c r="H78" s="66"/>
      <c r="I78" s="32"/>
      <c r="J78" s="64"/>
      <c r="K78" s="72"/>
      <c r="L78" s="32"/>
      <c r="O78" s="31"/>
      <c r="P78" s="31"/>
      <c r="Q78" s="27"/>
      <c r="AB78" s="11"/>
    </row>
    <row r="79" spans="1:29" s="14" customFormat="1" x14ac:dyDescent="0.25">
      <c r="A79" s="73"/>
      <c r="B79" s="32"/>
      <c r="C79" s="32"/>
      <c r="D79" s="32"/>
      <c r="E79" s="80"/>
      <c r="F79" s="32"/>
      <c r="H79" s="66"/>
      <c r="I79" s="32"/>
      <c r="K79" s="32"/>
      <c r="L79" s="32"/>
      <c r="O79" s="31"/>
      <c r="P79" s="31"/>
      <c r="Q79" s="27"/>
      <c r="AB79" s="11"/>
    </row>
    <row r="80" spans="1:29" s="14" customFormat="1" x14ac:dyDescent="0.25">
      <c r="A80" s="73"/>
      <c r="B80" s="32"/>
      <c r="C80" s="32"/>
      <c r="D80" s="32"/>
      <c r="E80" s="80"/>
      <c r="F80" s="32"/>
      <c r="H80" s="66"/>
      <c r="I80" s="32"/>
      <c r="K80" s="32"/>
      <c r="L80" s="32"/>
      <c r="O80" s="31"/>
      <c r="P80" s="31"/>
      <c r="Q80" s="27"/>
      <c r="AB80" s="11"/>
    </row>
    <row r="81" spans="1:28" s="14" customFormat="1" x14ac:dyDescent="0.25">
      <c r="A81" s="73"/>
      <c r="B81" s="32"/>
      <c r="C81" s="32"/>
      <c r="D81" s="32"/>
      <c r="E81" s="80"/>
      <c r="F81" s="32"/>
      <c r="H81" s="66"/>
      <c r="I81" s="32"/>
      <c r="K81" s="72"/>
      <c r="L81" s="32"/>
      <c r="O81" s="31"/>
      <c r="P81" s="31"/>
      <c r="Q81" s="27"/>
      <c r="AB81" s="11"/>
    </row>
    <row r="82" spans="1:28" s="14" customFormat="1" x14ac:dyDescent="0.25">
      <c r="A82" s="73"/>
      <c r="B82" s="32"/>
      <c r="C82" s="32"/>
      <c r="D82" s="32"/>
      <c r="E82" s="80"/>
      <c r="F82" s="32"/>
      <c r="H82" s="66"/>
      <c r="I82" s="32"/>
      <c r="K82" s="32"/>
      <c r="L82" s="32"/>
      <c r="O82" s="31"/>
      <c r="P82" s="31"/>
      <c r="Q82" s="27"/>
      <c r="AB82" s="11"/>
    </row>
    <row r="83" spans="1:28" s="14" customFormat="1" x14ac:dyDescent="0.25">
      <c r="A83" s="73"/>
      <c r="B83" s="32"/>
      <c r="C83" s="32"/>
      <c r="D83" s="32"/>
      <c r="E83" s="80"/>
      <c r="F83" s="32"/>
      <c r="H83" s="66"/>
      <c r="I83" s="32"/>
      <c r="K83" s="32"/>
      <c r="L83" s="32"/>
      <c r="O83" s="31"/>
      <c r="P83" s="31"/>
      <c r="Q83" s="27"/>
      <c r="AB83" s="11"/>
    </row>
    <row r="84" spans="1:28" s="14" customFormat="1" x14ac:dyDescent="0.25">
      <c r="A84" s="73"/>
      <c r="B84" s="32"/>
      <c r="C84" s="32"/>
      <c r="D84" s="32"/>
      <c r="E84" s="80"/>
      <c r="F84" s="32"/>
      <c r="H84" s="66"/>
      <c r="I84" s="32"/>
      <c r="K84" s="72"/>
      <c r="L84" s="32"/>
      <c r="O84" s="31"/>
      <c r="P84" s="31"/>
      <c r="Q84" s="27"/>
      <c r="AB84" s="11"/>
    </row>
    <row r="85" spans="1:28" s="14" customFormat="1" x14ac:dyDescent="0.25">
      <c r="A85" s="73"/>
      <c r="B85" s="32"/>
      <c r="C85" s="32"/>
      <c r="D85" s="32"/>
      <c r="E85" s="80"/>
      <c r="F85" s="32"/>
      <c r="H85" s="66"/>
      <c r="I85" s="32"/>
      <c r="K85" s="32"/>
      <c r="L85" s="32"/>
      <c r="Q85" s="27"/>
      <c r="AB85" s="11"/>
    </row>
    <row r="86" spans="1:28" s="14" customFormat="1" x14ac:dyDescent="0.25">
      <c r="A86" s="73"/>
      <c r="B86" s="32"/>
      <c r="C86" s="32"/>
      <c r="D86" s="32"/>
      <c r="E86" s="80"/>
      <c r="F86" s="32"/>
      <c r="H86" s="66"/>
      <c r="I86" s="32"/>
      <c r="K86" s="32"/>
      <c r="L86" s="32"/>
      <c r="Q86" s="27"/>
      <c r="AB86" s="11"/>
    </row>
    <row r="87" spans="1:28" s="14" customFormat="1" x14ac:dyDescent="0.25">
      <c r="A87" s="73"/>
      <c r="B87" s="30"/>
      <c r="C87" s="32"/>
      <c r="D87" s="32"/>
      <c r="E87" s="80"/>
      <c r="F87" s="32"/>
      <c r="H87" s="66"/>
      <c r="I87" s="32"/>
      <c r="K87" s="65"/>
      <c r="L87" s="32"/>
      <c r="Q87" s="27"/>
      <c r="AB87" s="11"/>
    </row>
    <row r="88" spans="1:28" s="14" customFormat="1" x14ac:dyDescent="0.25">
      <c r="A88" s="73"/>
      <c r="B88" s="30"/>
      <c r="C88" s="32"/>
      <c r="D88" s="32"/>
      <c r="E88" s="80"/>
      <c r="F88" s="32"/>
      <c r="H88" s="66"/>
      <c r="I88" s="32"/>
      <c r="K88" s="30"/>
      <c r="L88" s="32"/>
      <c r="Q88" s="27"/>
      <c r="AB88" s="11"/>
    </row>
    <row r="89" spans="1:28" s="14" customFormat="1" x14ac:dyDescent="0.25">
      <c r="A89" s="73"/>
      <c r="B89" s="30"/>
      <c r="C89" s="32"/>
      <c r="D89" s="32"/>
      <c r="E89" s="80"/>
      <c r="F89" s="32"/>
      <c r="H89" s="66"/>
      <c r="I89" s="32"/>
      <c r="K89" s="30"/>
      <c r="L89" s="32"/>
      <c r="Q89" s="27"/>
      <c r="AB89" s="11"/>
    </row>
    <row r="90" spans="1:28" s="14" customFormat="1" x14ac:dyDescent="0.25">
      <c r="A90" s="75"/>
      <c r="B90" s="30"/>
      <c r="C90" s="32"/>
      <c r="D90" s="32"/>
      <c r="E90" s="80"/>
      <c r="F90" s="32"/>
      <c r="H90" s="66"/>
      <c r="I90" s="32"/>
      <c r="K90" s="65"/>
      <c r="L90" s="32"/>
      <c r="Q90" s="27"/>
      <c r="AB90" s="11"/>
    </row>
    <row r="91" spans="1:28" s="14" customFormat="1" x14ac:dyDescent="0.25">
      <c r="A91" s="75"/>
      <c r="B91" s="30"/>
      <c r="C91" s="32"/>
      <c r="D91" s="32"/>
      <c r="E91" s="80"/>
      <c r="F91" s="32"/>
      <c r="H91" s="66"/>
      <c r="I91" s="32"/>
      <c r="K91" s="30"/>
      <c r="L91" s="32"/>
      <c r="Q91" s="27"/>
      <c r="AB91" s="11"/>
    </row>
    <row r="92" spans="1:28" s="14" customFormat="1" x14ac:dyDescent="0.25">
      <c r="A92" s="73"/>
      <c r="B92" s="73"/>
      <c r="C92" s="32"/>
      <c r="D92" s="32"/>
      <c r="E92" s="80"/>
      <c r="F92" s="32"/>
      <c r="H92" s="66"/>
      <c r="I92" s="32"/>
      <c r="K92" s="72"/>
      <c r="L92" s="32"/>
      <c r="Q92" s="27"/>
      <c r="AB92" s="11"/>
    </row>
    <row r="93" spans="1:28" s="14" customFormat="1" x14ac:dyDescent="0.25">
      <c r="A93" s="73"/>
      <c r="B93" s="32"/>
      <c r="C93" s="32"/>
      <c r="D93" s="32"/>
      <c r="E93" s="80"/>
      <c r="F93" s="32"/>
      <c r="H93" s="66"/>
      <c r="I93" s="32"/>
      <c r="K93" s="72"/>
      <c r="L93" s="32"/>
      <c r="Q93" s="27"/>
      <c r="AB93" s="11"/>
    </row>
    <row r="94" spans="1:28" s="14" customFormat="1" x14ac:dyDescent="0.25">
      <c r="A94" s="73"/>
      <c r="B94" s="32"/>
      <c r="C94" s="32"/>
      <c r="D94" s="32"/>
      <c r="E94" s="80"/>
      <c r="F94" s="32"/>
      <c r="H94" s="66"/>
      <c r="I94" s="32"/>
      <c r="K94" s="32"/>
      <c r="L94" s="32"/>
      <c r="Q94" s="27"/>
    </row>
    <row r="95" spans="1:28" s="14" customFormat="1" x14ac:dyDescent="0.25">
      <c r="A95" s="73"/>
      <c r="B95" s="32"/>
      <c r="C95" s="32"/>
      <c r="D95" s="32"/>
      <c r="E95" s="80"/>
      <c r="F95" s="32"/>
      <c r="H95" s="66"/>
      <c r="I95" s="32"/>
      <c r="K95" s="32"/>
      <c r="L95" s="32"/>
      <c r="Q95" s="27"/>
    </row>
    <row r="96" spans="1:28" s="14" customFormat="1" x14ac:dyDescent="0.25">
      <c r="A96" s="73"/>
      <c r="B96" s="32"/>
      <c r="C96" s="32"/>
      <c r="D96" s="32"/>
      <c r="E96" s="80"/>
      <c r="F96" s="32"/>
      <c r="H96" s="66"/>
      <c r="I96" s="32"/>
      <c r="K96" s="32"/>
      <c r="L96" s="32"/>
      <c r="Q96" s="27"/>
    </row>
    <row r="97" spans="1:17" s="14" customFormat="1" x14ac:dyDescent="0.25">
      <c r="A97" s="73"/>
      <c r="B97" s="32"/>
      <c r="C97" s="32"/>
      <c r="D97" s="32"/>
      <c r="E97" s="80"/>
      <c r="F97" s="32"/>
      <c r="H97" s="66"/>
      <c r="I97" s="32"/>
      <c r="K97" s="32"/>
      <c r="L97" s="32"/>
      <c r="Q97" s="27"/>
    </row>
    <row r="98" spans="1:17" s="14" customFormat="1" x14ac:dyDescent="0.25">
      <c r="A98" s="73"/>
      <c r="B98" s="32"/>
      <c r="C98" s="32"/>
      <c r="D98" s="32"/>
      <c r="E98" s="80"/>
      <c r="F98" s="32"/>
      <c r="H98" s="66"/>
      <c r="I98" s="32"/>
      <c r="K98" s="72"/>
      <c r="L98" s="32"/>
      <c r="Q98" s="27"/>
    </row>
    <row r="99" spans="1:17" s="14" customFormat="1" x14ac:dyDescent="0.25">
      <c r="A99" s="73"/>
      <c r="B99" s="32"/>
      <c r="C99" s="32"/>
      <c r="D99" s="32"/>
      <c r="E99" s="80"/>
      <c r="F99" s="32"/>
      <c r="H99" s="66"/>
      <c r="I99" s="32"/>
      <c r="K99" s="72"/>
      <c r="L99" s="32"/>
      <c r="Q99" s="27"/>
    </row>
    <row r="100" spans="1:17" s="14" customFormat="1" x14ac:dyDescent="0.25">
      <c r="A100" s="73"/>
      <c r="B100" s="32"/>
      <c r="C100" s="32"/>
      <c r="D100" s="32"/>
      <c r="E100" s="80"/>
      <c r="F100" s="32"/>
      <c r="H100" s="66"/>
      <c r="I100" s="32"/>
      <c r="K100" s="32"/>
      <c r="L100" s="32"/>
    </row>
    <row r="101" spans="1:17" s="14" customFormat="1" x14ac:dyDescent="0.25">
      <c r="A101" s="73"/>
      <c r="B101" s="32"/>
      <c r="C101" s="32"/>
      <c r="D101" s="32"/>
      <c r="E101" s="80"/>
      <c r="F101" s="32"/>
      <c r="H101" s="66"/>
      <c r="I101" s="32"/>
      <c r="K101" s="32"/>
      <c r="L101" s="32"/>
    </row>
    <row r="102" spans="1:17" s="14" customFormat="1" x14ac:dyDescent="0.25">
      <c r="A102" s="75"/>
      <c r="B102" s="32"/>
      <c r="C102" s="32"/>
      <c r="D102" s="32"/>
      <c r="E102" s="80"/>
      <c r="F102" s="32"/>
      <c r="H102" s="66"/>
      <c r="I102" s="32"/>
      <c r="K102" s="72"/>
      <c r="L102" s="32"/>
    </row>
    <row r="103" spans="1:17" s="14" customFormat="1" x14ac:dyDescent="0.25">
      <c r="A103" s="75"/>
      <c r="B103" s="32"/>
      <c r="C103" s="32"/>
      <c r="D103" s="32"/>
      <c r="E103" s="80"/>
      <c r="F103" s="32"/>
      <c r="H103" s="66"/>
      <c r="I103" s="32"/>
      <c r="K103" s="72"/>
      <c r="L103" s="32"/>
    </row>
    <row r="104" spans="1:17" s="14" customFormat="1" x14ac:dyDescent="0.25">
      <c r="A104" s="73"/>
      <c r="B104" s="32"/>
      <c r="C104" s="32"/>
      <c r="D104" s="32"/>
      <c r="E104" s="80"/>
      <c r="F104" s="32"/>
      <c r="H104" s="66"/>
      <c r="I104" s="32"/>
      <c r="K104" s="32"/>
      <c r="L104" s="32"/>
    </row>
    <row r="105" spans="1:17" s="14" customFormat="1" x14ac:dyDescent="0.25">
      <c r="A105" s="73"/>
      <c r="B105" s="32"/>
      <c r="C105" s="32"/>
      <c r="D105" s="32"/>
      <c r="E105" s="80"/>
      <c r="F105" s="32"/>
      <c r="H105" s="66"/>
      <c r="I105" s="32"/>
      <c r="K105" s="72"/>
      <c r="L105" s="32"/>
    </row>
    <row r="106" spans="1:17" s="14" customFormat="1" x14ac:dyDescent="0.25">
      <c r="A106" s="73"/>
      <c r="B106" s="32"/>
      <c r="C106" s="32"/>
      <c r="D106" s="32"/>
      <c r="E106" s="80"/>
      <c r="F106" s="32"/>
      <c r="H106" s="66"/>
      <c r="I106" s="32"/>
      <c r="K106" s="72"/>
      <c r="L106" s="32"/>
    </row>
    <row r="107" spans="1:17" s="14" customFormat="1" x14ac:dyDescent="0.25">
      <c r="A107" s="73"/>
      <c r="B107" s="32"/>
      <c r="C107" s="32"/>
      <c r="D107" s="32"/>
      <c r="E107" s="80"/>
      <c r="F107" s="32"/>
      <c r="H107" s="66"/>
      <c r="I107" s="32"/>
      <c r="K107" s="32"/>
      <c r="L107" s="32"/>
    </row>
    <row r="108" spans="1:17" s="14" customFormat="1" x14ac:dyDescent="0.25">
      <c r="A108" s="73"/>
      <c r="B108" s="32"/>
      <c r="C108" s="32"/>
      <c r="D108" s="32"/>
      <c r="E108" s="80"/>
      <c r="F108" s="32"/>
      <c r="H108" s="66"/>
      <c r="I108" s="32"/>
      <c r="K108" s="32"/>
      <c r="L108" s="32"/>
    </row>
    <row r="109" spans="1:17" s="14" customFormat="1" x14ac:dyDescent="0.25">
      <c r="A109" s="73"/>
      <c r="B109" s="32"/>
      <c r="C109" s="32"/>
      <c r="D109" s="32"/>
      <c r="E109" s="80"/>
      <c r="F109" s="32"/>
      <c r="H109" s="66"/>
      <c r="I109" s="32"/>
      <c r="K109" s="72"/>
      <c r="L109" s="32"/>
    </row>
    <row r="110" spans="1:17" s="14" customFormat="1" x14ac:dyDescent="0.25">
      <c r="A110" s="73"/>
      <c r="B110" s="32"/>
      <c r="C110" s="32"/>
      <c r="D110" s="32"/>
      <c r="E110" s="80"/>
      <c r="F110" s="32"/>
      <c r="H110" s="66"/>
      <c r="I110" s="32"/>
      <c r="K110" s="72"/>
      <c r="L110" s="32"/>
    </row>
    <row r="111" spans="1:17" s="14" customFormat="1" x14ac:dyDescent="0.25">
      <c r="A111" s="73"/>
      <c r="B111" s="32"/>
      <c r="C111" s="32"/>
      <c r="D111" s="32"/>
      <c r="E111" s="80"/>
      <c r="F111" s="32"/>
      <c r="H111" s="66"/>
      <c r="I111" s="32"/>
      <c r="K111" s="32"/>
      <c r="L111" s="32"/>
      <c r="Q111" s="27"/>
    </row>
    <row r="112" spans="1:17" s="14" customFormat="1" x14ac:dyDescent="0.25">
      <c r="A112" s="73"/>
      <c r="B112" s="32"/>
      <c r="C112" s="32"/>
      <c r="D112" s="32"/>
      <c r="E112" s="80"/>
      <c r="F112" s="32"/>
      <c r="H112" s="66"/>
      <c r="I112" s="32"/>
      <c r="K112" s="32"/>
      <c r="L112" s="32"/>
      <c r="Q112" s="27"/>
    </row>
    <row r="113" spans="1:15" s="14" customFormat="1" x14ac:dyDescent="0.25">
      <c r="A113" s="73"/>
      <c r="B113" s="32"/>
      <c r="C113" s="32"/>
      <c r="D113" s="32"/>
      <c r="E113" s="80"/>
      <c r="F113" s="32"/>
      <c r="H113" s="66"/>
      <c r="I113" s="32"/>
      <c r="K113" s="32"/>
      <c r="L113" s="32"/>
    </row>
    <row r="114" spans="1:15" s="14" customFormat="1" x14ac:dyDescent="0.25">
      <c r="A114" s="73"/>
      <c r="B114" s="32"/>
      <c r="C114" s="32"/>
      <c r="D114" s="32"/>
      <c r="E114" s="80"/>
      <c r="F114" s="32"/>
      <c r="H114" s="66"/>
      <c r="I114" s="32"/>
      <c r="K114" s="32"/>
      <c r="L114" s="32"/>
    </row>
    <row r="115" spans="1:15" s="14" customFormat="1" x14ac:dyDescent="0.25">
      <c r="A115" s="73"/>
      <c r="B115" s="32"/>
      <c r="C115" s="32"/>
      <c r="D115" s="32"/>
      <c r="E115" s="80"/>
      <c r="F115" s="32"/>
      <c r="H115" s="66"/>
      <c r="I115" s="32"/>
      <c r="K115" s="72"/>
      <c r="L115" s="32"/>
    </row>
    <row r="116" spans="1:15" s="14" customFormat="1" x14ac:dyDescent="0.25">
      <c r="A116" s="73"/>
      <c r="B116" s="32"/>
      <c r="C116" s="32"/>
      <c r="D116" s="32"/>
      <c r="E116" s="80"/>
      <c r="F116" s="32"/>
      <c r="H116" s="66"/>
      <c r="I116" s="32"/>
      <c r="K116" s="32"/>
      <c r="L116" s="32"/>
    </row>
    <row r="117" spans="1:15" s="14" customFormat="1" x14ac:dyDescent="0.25">
      <c r="A117" s="73"/>
      <c r="B117" s="32"/>
      <c r="C117" s="32"/>
      <c r="D117" s="32"/>
      <c r="E117" s="80"/>
      <c r="F117" s="32"/>
      <c r="H117" s="66"/>
      <c r="I117" s="32"/>
      <c r="K117" s="72"/>
      <c r="L117" s="32"/>
    </row>
    <row r="118" spans="1:15" s="14" customFormat="1" x14ac:dyDescent="0.25">
      <c r="A118" s="73"/>
      <c r="B118" s="32"/>
      <c r="C118" s="32"/>
      <c r="D118" s="32"/>
      <c r="E118" s="80"/>
      <c r="F118" s="32"/>
      <c r="H118" s="66"/>
      <c r="I118" s="32"/>
      <c r="K118" s="32"/>
      <c r="L118" s="32"/>
    </row>
    <row r="119" spans="1:15" s="14" customFormat="1" x14ac:dyDescent="0.25">
      <c r="A119" s="73"/>
      <c r="B119" s="32"/>
      <c r="C119" s="32"/>
      <c r="D119" s="32"/>
      <c r="E119" s="80"/>
      <c r="F119" s="32"/>
      <c r="H119" s="66"/>
      <c r="I119" s="32"/>
      <c r="K119" s="32"/>
      <c r="L119" s="32"/>
    </row>
    <row r="120" spans="1:15" s="14" customFormat="1" x14ac:dyDescent="0.25">
      <c r="A120" s="73"/>
      <c r="B120" s="32"/>
      <c r="C120" s="32"/>
      <c r="D120" s="32"/>
      <c r="E120" s="80"/>
      <c r="F120" s="32"/>
      <c r="H120" s="66"/>
      <c r="I120" s="32"/>
      <c r="K120" s="32"/>
      <c r="L120" s="32"/>
    </row>
    <row r="121" spans="1:15" s="14" customFormat="1" x14ac:dyDescent="0.25">
      <c r="A121" s="73"/>
      <c r="B121" s="32"/>
      <c r="C121" s="32"/>
      <c r="D121" s="32"/>
      <c r="E121" s="80"/>
      <c r="F121" s="32"/>
      <c r="H121" s="66"/>
      <c r="I121" s="32"/>
      <c r="K121" s="32"/>
      <c r="L121" s="32"/>
    </row>
    <row r="122" spans="1:15" s="14" customFormat="1" x14ac:dyDescent="0.25">
      <c r="A122" s="73"/>
      <c r="B122" s="32"/>
      <c r="C122" s="32"/>
      <c r="D122" s="32"/>
      <c r="E122" s="80"/>
      <c r="F122" s="32"/>
      <c r="H122" s="66"/>
      <c r="I122" s="32"/>
      <c r="K122" s="72"/>
      <c r="L122" s="32"/>
    </row>
    <row r="123" spans="1:15" s="14" customFormat="1" x14ac:dyDescent="0.25">
      <c r="A123" s="73"/>
      <c r="B123" s="32"/>
      <c r="C123" s="32"/>
      <c r="D123" s="32"/>
      <c r="E123" s="80"/>
      <c r="F123" s="32"/>
      <c r="H123" s="66"/>
      <c r="I123" s="32"/>
      <c r="K123" s="32"/>
      <c r="L123" s="32"/>
    </row>
    <row r="124" spans="1:15" s="14" customFormat="1" x14ac:dyDescent="0.25">
      <c r="A124" s="73"/>
      <c r="B124" s="32"/>
      <c r="C124" s="32"/>
      <c r="D124" s="32"/>
      <c r="E124" s="80"/>
      <c r="F124" s="32"/>
      <c r="H124" s="66"/>
      <c r="I124" s="32"/>
      <c r="K124" s="72"/>
      <c r="L124" s="32"/>
    </row>
    <row r="125" spans="1:15" s="14" customFormat="1" x14ac:dyDescent="0.25">
      <c r="A125" s="73"/>
      <c r="B125" s="32"/>
      <c r="C125" s="32"/>
      <c r="D125" s="32"/>
      <c r="E125" s="80"/>
      <c r="F125" s="32"/>
      <c r="H125" s="66"/>
      <c r="I125" s="72"/>
      <c r="K125" s="32"/>
      <c r="L125" s="32"/>
      <c r="O125" s="25"/>
    </row>
    <row r="126" spans="1:15" s="14" customFormat="1" x14ac:dyDescent="0.25">
      <c r="A126" s="73"/>
      <c r="B126" s="32"/>
      <c r="C126" s="32"/>
      <c r="D126" s="32"/>
      <c r="E126" s="80"/>
      <c r="F126" s="32"/>
      <c r="H126" s="66"/>
      <c r="I126" s="72"/>
      <c r="K126" s="32"/>
      <c r="L126" s="32"/>
      <c r="O126" s="25"/>
    </row>
    <row r="127" spans="1:15" s="14" customFormat="1" x14ac:dyDescent="0.25">
      <c r="A127" s="73"/>
      <c r="B127" s="32"/>
      <c r="C127" s="32"/>
      <c r="D127" s="32"/>
      <c r="E127" s="80"/>
      <c r="F127" s="32"/>
      <c r="H127" s="66"/>
      <c r="I127" s="72"/>
      <c r="K127" s="32"/>
      <c r="L127" s="32"/>
      <c r="O127" s="25"/>
    </row>
    <row r="128" spans="1:15" s="14" customFormat="1" x14ac:dyDescent="0.25">
      <c r="A128" s="73"/>
      <c r="B128" s="32"/>
      <c r="C128" s="32"/>
      <c r="D128" s="32"/>
      <c r="E128" s="80"/>
      <c r="F128" s="32"/>
      <c r="H128" s="66"/>
      <c r="I128" s="72"/>
      <c r="K128" s="32"/>
      <c r="L128" s="32"/>
      <c r="O128" s="25"/>
    </row>
    <row r="129" spans="1:15" s="14" customFormat="1" x14ac:dyDescent="0.25">
      <c r="A129" s="73"/>
      <c r="B129" s="32"/>
      <c r="C129" s="32"/>
      <c r="D129" s="32"/>
      <c r="E129" s="80"/>
      <c r="F129" s="32"/>
      <c r="H129" s="66"/>
      <c r="I129" s="72"/>
      <c r="K129" s="32"/>
      <c r="L129" s="32"/>
      <c r="O129" s="25"/>
    </row>
    <row r="130" spans="1:15" s="14" customFormat="1" x14ac:dyDescent="0.25">
      <c r="A130" s="73"/>
      <c r="B130" s="32"/>
      <c r="C130" s="32"/>
      <c r="D130" s="32"/>
      <c r="E130" s="80"/>
      <c r="F130" s="32"/>
      <c r="H130" s="66"/>
      <c r="I130" s="72"/>
      <c r="K130" s="32"/>
      <c r="L130" s="32"/>
      <c r="O130" s="25"/>
    </row>
    <row r="131" spans="1:15" s="14" customFormat="1" x14ac:dyDescent="0.25">
      <c r="A131" s="73"/>
      <c r="B131" s="32"/>
      <c r="C131" s="32"/>
      <c r="D131" s="32"/>
      <c r="E131" s="80"/>
      <c r="F131" s="32"/>
      <c r="H131" s="66"/>
      <c r="I131" s="32"/>
      <c r="K131" s="72"/>
      <c r="L131" s="32"/>
      <c r="O131" s="25"/>
    </row>
    <row r="132" spans="1:15" s="14" customFormat="1" x14ac:dyDescent="0.25">
      <c r="A132" s="73"/>
      <c r="B132" s="32"/>
      <c r="C132" s="32"/>
      <c r="D132" s="32"/>
      <c r="E132" s="80"/>
      <c r="F132" s="32"/>
      <c r="H132" s="66"/>
      <c r="I132" s="32"/>
      <c r="K132" s="72"/>
      <c r="L132" s="32"/>
      <c r="O132" s="25"/>
    </row>
    <row r="133" spans="1:15" s="14" customFormat="1" x14ac:dyDescent="0.25">
      <c r="A133" s="73"/>
      <c r="B133" s="32"/>
      <c r="C133" s="32"/>
      <c r="D133" s="32"/>
      <c r="E133" s="80"/>
      <c r="F133" s="32"/>
      <c r="H133" s="66"/>
      <c r="I133" s="32"/>
      <c r="K133" s="32"/>
      <c r="L133" s="32"/>
      <c r="O133" s="25"/>
    </row>
    <row r="134" spans="1:15" s="14" customFormat="1" x14ac:dyDescent="0.25">
      <c r="A134" s="73"/>
      <c r="B134" s="32"/>
      <c r="C134" s="32"/>
      <c r="D134" s="32"/>
      <c r="E134" s="80"/>
      <c r="F134" s="32"/>
      <c r="H134" s="66"/>
      <c r="I134" s="32"/>
      <c r="K134" s="32"/>
      <c r="L134" s="32"/>
      <c r="O134" s="25"/>
    </row>
    <row r="135" spans="1:15" s="14" customFormat="1" x14ac:dyDescent="0.25">
      <c r="A135" s="73"/>
      <c r="B135" s="32"/>
      <c r="C135" s="32"/>
      <c r="D135" s="32"/>
      <c r="E135" s="80"/>
      <c r="F135" s="32"/>
      <c r="H135" s="66"/>
      <c r="I135" s="32"/>
      <c r="K135" s="32"/>
      <c r="L135" s="32"/>
      <c r="O135" s="25"/>
    </row>
    <row r="136" spans="1:15" s="14" customFormat="1" x14ac:dyDescent="0.25">
      <c r="A136" s="73"/>
      <c r="B136" s="32"/>
      <c r="C136" s="32"/>
      <c r="D136" s="32"/>
      <c r="E136" s="80"/>
      <c r="F136" s="32"/>
      <c r="H136" s="66"/>
      <c r="I136" s="32"/>
      <c r="K136" s="32"/>
      <c r="L136" s="32"/>
      <c r="O136" s="25"/>
    </row>
    <row r="137" spans="1:15" s="14" customFormat="1" x14ac:dyDescent="0.25">
      <c r="A137" s="73"/>
      <c r="B137" s="32"/>
      <c r="C137" s="32"/>
      <c r="D137" s="32"/>
      <c r="E137" s="80"/>
      <c r="F137" s="32"/>
      <c r="H137" s="66"/>
      <c r="I137" s="32"/>
      <c r="K137" s="32"/>
      <c r="L137" s="32"/>
      <c r="O137" s="25"/>
    </row>
    <row r="138" spans="1:15" s="14" customFormat="1" x14ac:dyDescent="0.25">
      <c r="A138" s="73"/>
      <c r="B138" s="32"/>
      <c r="C138" s="32"/>
      <c r="D138" s="32"/>
      <c r="E138" s="80"/>
      <c r="F138" s="32"/>
      <c r="H138" s="66"/>
      <c r="I138" s="32"/>
      <c r="K138" s="32"/>
      <c r="L138" s="32"/>
      <c r="O138" s="25"/>
    </row>
    <row r="139" spans="1:15" s="14" customFormat="1" x14ac:dyDescent="0.25">
      <c r="A139" s="73"/>
      <c r="B139" s="32"/>
      <c r="C139" s="32"/>
      <c r="D139" s="32"/>
      <c r="E139" s="80"/>
      <c r="F139" s="32"/>
      <c r="H139" s="66"/>
      <c r="I139" s="32"/>
      <c r="K139" s="32"/>
      <c r="L139" s="32"/>
      <c r="O139" s="25"/>
    </row>
    <row r="140" spans="1:15" s="14" customFormat="1" x14ac:dyDescent="0.25">
      <c r="A140" s="73"/>
      <c r="B140" s="32"/>
      <c r="C140" s="32"/>
      <c r="D140" s="32"/>
      <c r="E140" s="80"/>
      <c r="F140" s="32"/>
      <c r="H140" s="66"/>
      <c r="I140" s="32"/>
      <c r="K140" s="32"/>
      <c r="L140" s="32"/>
      <c r="O140" s="25"/>
    </row>
    <row r="141" spans="1:15" s="14" customFormat="1" x14ac:dyDescent="0.25">
      <c r="A141" s="73"/>
      <c r="B141" s="32"/>
      <c r="C141" s="32"/>
      <c r="D141" s="32"/>
      <c r="E141" s="80"/>
      <c r="F141" s="32"/>
      <c r="H141" s="66"/>
      <c r="I141" s="32"/>
      <c r="K141" s="32"/>
      <c r="L141" s="32"/>
      <c r="O141" s="25"/>
    </row>
    <row r="142" spans="1:15" s="14" customFormat="1" x14ac:dyDescent="0.25">
      <c r="A142" s="73"/>
      <c r="B142" s="32"/>
      <c r="C142" s="32"/>
      <c r="D142" s="32"/>
      <c r="E142" s="80"/>
      <c r="F142" s="32"/>
      <c r="H142" s="66"/>
      <c r="I142" s="32"/>
      <c r="K142" s="32"/>
      <c r="L142" s="32"/>
      <c r="O142" s="25"/>
    </row>
    <row r="143" spans="1:15" s="14" customFormat="1" x14ac:dyDescent="0.25">
      <c r="A143" s="73"/>
      <c r="B143" s="32"/>
      <c r="C143" s="32"/>
      <c r="D143" s="32"/>
      <c r="E143" s="80"/>
      <c r="F143" s="32"/>
      <c r="H143" s="66"/>
      <c r="I143" s="32"/>
      <c r="K143" s="32"/>
      <c r="L143" s="32"/>
      <c r="O143" s="25"/>
    </row>
    <row r="144" spans="1:15" s="14" customFormat="1" x14ac:dyDescent="0.25">
      <c r="A144" s="73"/>
      <c r="B144" s="32"/>
      <c r="C144" s="32"/>
      <c r="D144" s="32"/>
      <c r="E144" s="80"/>
      <c r="F144" s="32"/>
      <c r="H144" s="66"/>
      <c r="I144" s="32"/>
      <c r="K144" s="32"/>
      <c r="L144" s="32"/>
      <c r="O144" s="25"/>
    </row>
    <row r="145" spans="1:15" s="14" customFormat="1" x14ac:dyDescent="0.25">
      <c r="A145" s="73"/>
      <c r="B145" s="32"/>
      <c r="C145" s="32"/>
      <c r="D145" s="32"/>
      <c r="E145" s="80"/>
      <c r="F145" s="32"/>
      <c r="H145" s="66"/>
      <c r="I145" s="32"/>
      <c r="K145" s="72"/>
      <c r="L145" s="32"/>
      <c r="O145" s="25"/>
    </row>
    <row r="146" spans="1:15" s="14" customFormat="1" x14ac:dyDescent="0.25">
      <c r="A146" s="73"/>
      <c r="B146" s="32"/>
      <c r="C146" s="32"/>
      <c r="D146" s="32"/>
      <c r="E146" s="80"/>
      <c r="F146" s="32"/>
      <c r="H146" s="66"/>
      <c r="I146" s="72"/>
      <c r="K146" s="32"/>
      <c r="L146" s="32"/>
      <c r="O146" s="25"/>
    </row>
    <row r="147" spans="1:15" s="14" customFormat="1" x14ac:dyDescent="0.25">
      <c r="A147" s="73"/>
      <c r="B147" s="32"/>
      <c r="C147" s="32"/>
      <c r="D147" s="32"/>
      <c r="E147" s="80"/>
      <c r="F147" s="32"/>
      <c r="H147" s="66"/>
      <c r="I147" s="32"/>
      <c r="K147" s="32"/>
      <c r="L147" s="32"/>
      <c r="O147" s="25"/>
    </row>
    <row r="148" spans="1:15" s="14" customFormat="1" x14ac:dyDescent="0.25">
      <c r="A148" s="73"/>
      <c r="B148" s="32"/>
      <c r="C148" s="32"/>
      <c r="D148" s="32"/>
      <c r="E148" s="80"/>
      <c r="F148" s="32"/>
      <c r="H148" s="66"/>
      <c r="I148" s="72"/>
      <c r="K148" s="32"/>
      <c r="L148" s="32"/>
      <c r="O148" s="25"/>
    </row>
    <row r="149" spans="1:15" s="14" customFormat="1" x14ac:dyDescent="0.25">
      <c r="A149" s="73"/>
      <c r="B149" s="32"/>
      <c r="C149" s="32"/>
      <c r="D149" s="32"/>
      <c r="E149" s="80"/>
      <c r="F149" s="32"/>
      <c r="H149" s="66"/>
      <c r="I149" s="72"/>
      <c r="K149" s="32"/>
      <c r="L149" s="32"/>
      <c r="O149" s="25"/>
    </row>
    <row r="150" spans="1:15" s="14" customFormat="1" x14ac:dyDescent="0.25">
      <c r="A150" s="73"/>
      <c r="B150" s="32"/>
      <c r="C150" s="32"/>
      <c r="D150" s="32"/>
      <c r="E150" s="80"/>
      <c r="F150" s="32"/>
      <c r="H150" s="66"/>
      <c r="I150" s="72"/>
      <c r="K150" s="32"/>
      <c r="L150" s="32"/>
      <c r="O150" s="25"/>
    </row>
    <row r="151" spans="1:15" s="14" customFormat="1" x14ac:dyDescent="0.25">
      <c r="A151" s="73"/>
      <c r="B151" s="32"/>
      <c r="C151" s="32"/>
      <c r="D151" s="32"/>
      <c r="E151" s="80"/>
      <c r="F151" s="32"/>
      <c r="H151" s="66"/>
      <c r="I151" s="72"/>
      <c r="K151" s="32"/>
      <c r="L151" s="32"/>
      <c r="O151" s="25"/>
    </row>
    <row r="152" spans="1:15" s="14" customFormat="1" x14ac:dyDescent="0.25">
      <c r="A152" s="73"/>
      <c r="B152" s="32"/>
      <c r="C152" s="32"/>
      <c r="D152" s="32"/>
      <c r="E152" s="80"/>
      <c r="F152" s="32"/>
      <c r="H152" s="66"/>
      <c r="I152" s="72"/>
      <c r="K152" s="32"/>
      <c r="L152" s="32"/>
      <c r="O152" s="25"/>
    </row>
    <row r="153" spans="1:15" s="14" customFormat="1" x14ac:dyDescent="0.25">
      <c r="A153" s="73"/>
      <c r="B153" s="32"/>
      <c r="C153" s="32"/>
      <c r="D153" s="32"/>
      <c r="E153" s="80"/>
      <c r="F153" s="32"/>
      <c r="H153" s="66"/>
      <c r="I153" s="32"/>
      <c r="K153" s="72"/>
      <c r="L153" s="32"/>
      <c r="O153" s="25"/>
    </row>
    <row r="154" spans="1:15" s="14" customFormat="1" x14ac:dyDescent="0.25">
      <c r="A154" s="73"/>
      <c r="B154" s="32"/>
      <c r="C154" s="32"/>
      <c r="D154" s="32"/>
      <c r="E154" s="80"/>
      <c r="F154" s="32"/>
      <c r="H154" s="66"/>
      <c r="I154" s="32"/>
      <c r="K154" s="32"/>
      <c r="L154" s="32"/>
      <c r="O154" s="25"/>
    </row>
    <row r="155" spans="1:15" s="14" customFormat="1" x14ac:dyDescent="0.25">
      <c r="A155" s="73"/>
      <c r="B155" s="32"/>
      <c r="C155" s="32"/>
      <c r="D155" s="32"/>
      <c r="E155" s="80"/>
      <c r="F155" s="32"/>
      <c r="H155" s="66"/>
      <c r="I155" s="72"/>
      <c r="K155" s="32"/>
      <c r="L155" s="32"/>
      <c r="O155" s="25"/>
    </row>
    <row r="156" spans="1:15" s="14" customFormat="1" x14ac:dyDescent="0.25">
      <c r="A156" s="73"/>
      <c r="B156" s="32"/>
      <c r="C156" s="32"/>
      <c r="D156" s="32"/>
      <c r="E156" s="80"/>
      <c r="F156" s="32"/>
      <c r="H156" s="66"/>
      <c r="I156" s="72"/>
      <c r="K156" s="32"/>
      <c r="L156" s="32"/>
      <c r="O156" s="25"/>
    </row>
    <row r="157" spans="1:15" s="14" customFormat="1" x14ac:dyDescent="0.25">
      <c r="A157" s="73"/>
      <c r="B157" s="32"/>
      <c r="C157" s="32"/>
      <c r="D157" s="32"/>
      <c r="E157" s="80"/>
      <c r="F157" s="32"/>
      <c r="H157" s="66"/>
      <c r="I157" s="72"/>
      <c r="K157" s="32"/>
      <c r="L157" s="32"/>
      <c r="O157" s="25"/>
    </row>
    <row r="158" spans="1:15" s="14" customFormat="1" x14ac:dyDescent="0.25">
      <c r="A158" s="73"/>
      <c r="B158" s="32"/>
      <c r="C158" s="32"/>
      <c r="D158" s="32"/>
      <c r="E158" s="80"/>
      <c r="F158" s="32"/>
      <c r="H158" s="66"/>
      <c r="I158" s="72"/>
      <c r="K158" s="32"/>
      <c r="L158" s="32"/>
      <c r="O158" s="25"/>
    </row>
    <row r="159" spans="1:15" s="14" customFormat="1" x14ac:dyDescent="0.25">
      <c r="A159" s="73"/>
      <c r="B159" s="32"/>
      <c r="C159" s="32"/>
      <c r="D159" s="32"/>
      <c r="E159" s="80"/>
      <c r="F159" s="32"/>
      <c r="H159" s="66"/>
      <c r="I159" s="72"/>
      <c r="K159" s="32"/>
      <c r="L159" s="32"/>
      <c r="O159" s="25"/>
    </row>
    <row r="160" spans="1:15" s="14" customFormat="1" x14ac:dyDescent="0.25">
      <c r="A160" s="73"/>
      <c r="B160" s="32"/>
      <c r="C160" s="32"/>
      <c r="D160" s="32"/>
      <c r="E160" s="80"/>
      <c r="F160" s="32"/>
      <c r="H160" s="66"/>
      <c r="I160" s="72"/>
      <c r="K160" s="32"/>
      <c r="L160" s="32"/>
      <c r="O160" s="25"/>
    </row>
    <row r="161" spans="1:15" s="14" customFormat="1" x14ac:dyDescent="0.25">
      <c r="A161" s="73"/>
      <c r="B161" s="32"/>
      <c r="C161" s="32"/>
      <c r="D161" s="32"/>
      <c r="E161" s="80"/>
      <c r="F161" s="32"/>
      <c r="H161" s="66"/>
      <c r="I161" s="72"/>
      <c r="K161" s="32"/>
      <c r="L161" s="32"/>
      <c r="O161" s="25"/>
    </row>
    <row r="162" spans="1:15" s="14" customFormat="1" x14ac:dyDescent="0.25">
      <c r="A162" s="73"/>
      <c r="B162" s="32"/>
      <c r="C162" s="32"/>
      <c r="D162" s="32"/>
      <c r="E162" s="80"/>
      <c r="F162" s="32"/>
      <c r="H162" s="66"/>
      <c r="I162" s="32"/>
      <c r="K162" s="72"/>
      <c r="L162" s="32"/>
      <c r="O162" s="25"/>
    </row>
    <row r="163" spans="1:15" s="14" customFormat="1" x14ac:dyDescent="0.25">
      <c r="A163" s="73"/>
      <c r="B163" s="32"/>
      <c r="C163" s="32"/>
      <c r="D163" s="32"/>
      <c r="E163" s="80"/>
      <c r="F163" s="32"/>
      <c r="H163" s="66"/>
      <c r="I163" s="32"/>
      <c r="K163" s="32"/>
      <c r="L163" s="32"/>
      <c r="O163" s="25"/>
    </row>
    <row r="164" spans="1:15" s="14" customFormat="1" x14ac:dyDescent="0.25">
      <c r="A164" s="73"/>
      <c r="B164" s="32"/>
      <c r="C164" s="32"/>
      <c r="D164" s="32"/>
      <c r="E164" s="80"/>
      <c r="F164" s="32"/>
      <c r="H164" s="66"/>
      <c r="I164" s="32"/>
      <c r="K164" s="32"/>
      <c r="L164" s="32"/>
      <c r="O164" s="25"/>
    </row>
    <row r="165" spans="1:15" s="14" customFormat="1" x14ac:dyDescent="0.25">
      <c r="A165" s="73"/>
      <c r="B165" s="32"/>
      <c r="C165" s="32"/>
      <c r="D165" s="32"/>
      <c r="E165" s="80"/>
      <c r="F165" s="32"/>
      <c r="H165" s="66"/>
      <c r="I165" s="32"/>
      <c r="K165" s="72"/>
      <c r="L165" s="32"/>
      <c r="O165" s="25"/>
    </row>
    <row r="166" spans="1:15" s="14" customFormat="1" x14ac:dyDescent="0.25">
      <c r="A166" s="73"/>
      <c r="B166" s="32"/>
      <c r="C166" s="32"/>
      <c r="D166" s="32"/>
      <c r="E166" s="80"/>
      <c r="F166" s="32"/>
      <c r="H166" s="66"/>
      <c r="I166" s="32"/>
      <c r="K166" s="72"/>
      <c r="L166" s="32"/>
      <c r="O166" s="25"/>
    </row>
    <row r="167" spans="1:15" s="14" customFormat="1" x14ac:dyDescent="0.25">
      <c r="A167" s="73"/>
      <c r="B167" s="32"/>
      <c r="C167" s="32"/>
      <c r="D167" s="32"/>
      <c r="E167" s="80"/>
      <c r="F167" s="32"/>
      <c r="H167" s="66"/>
      <c r="I167" s="32"/>
      <c r="K167" s="32"/>
      <c r="L167" s="32"/>
      <c r="O167" s="25"/>
    </row>
    <row r="168" spans="1:15" s="14" customFormat="1" x14ac:dyDescent="0.25">
      <c r="A168" s="73"/>
      <c r="B168" s="32"/>
      <c r="C168" s="32"/>
      <c r="D168" s="32"/>
      <c r="E168" s="80"/>
      <c r="F168" s="32"/>
      <c r="H168" s="66"/>
      <c r="I168" s="32"/>
      <c r="K168" s="32"/>
      <c r="L168" s="32"/>
      <c r="O168" s="25"/>
    </row>
    <row r="169" spans="1:15" s="14" customFormat="1" x14ac:dyDescent="0.25">
      <c r="A169" s="73"/>
      <c r="B169" s="32"/>
      <c r="C169" s="32"/>
      <c r="D169" s="32"/>
      <c r="E169" s="80"/>
      <c r="F169" s="32"/>
      <c r="H169" s="66"/>
      <c r="I169" s="32"/>
      <c r="K169" s="72"/>
      <c r="L169" s="32"/>
      <c r="O169" s="25"/>
    </row>
    <row r="170" spans="1:15" s="14" customFormat="1" x14ac:dyDescent="0.25">
      <c r="A170" s="73"/>
      <c r="B170" s="32"/>
      <c r="C170" s="32"/>
      <c r="D170" s="32"/>
      <c r="E170" s="80"/>
      <c r="F170" s="32"/>
      <c r="H170" s="66"/>
      <c r="I170" s="32"/>
      <c r="K170" s="72"/>
      <c r="L170" s="32"/>
      <c r="O170" s="25"/>
    </row>
    <row r="171" spans="1:15" s="14" customFormat="1" x14ac:dyDescent="0.25">
      <c r="A171" s="73"/>
      <c r="B171" s="32"/>
      <c r="C171" s="32"/>
      <c r="D171" s="32"/>
      <c r="E171" s="80"/>
      <c r="F171" s="32"/>
      <c r="H171" s="66"/>
      <c r="I171" s="32"/>
      <c r="K171" s="32"/>
      <c r="L171" s="32"/>
      <c r="O171" s="25"/>
    </row>
    <row r="172" spans="1:15" s="14" customFormat="1" x14ac:dyDescent="0.25">
      <c r="A172" s="73"/>
      <c r="B172" s="32"/>
      <c r="C172" s="32"/>
      <c r="D172" s="32"/>
      <c r="E172" s="80"/>
      <c r="F172" s="32"/>
      <c r="H172" s="66"/>
      <c r="I172" s="32"/>
      <c r="K172" s="32"/>
      <c r="L172" s="32"/>
      <c r="O172" s="25"/>
    </row>
    <row r="173" spans="1:15" s="14" customFormat="1" x14ac:dyDescent="0.25">
      <c r="A173" s="75"/>
      <c r="C173" s="32"/>
      <c r="D173" s="32"/>
      <c r="E173" s="81"/>
      <c r="G173" s="32"/>
      <c r="H173" s="66"/>
      <c r="K173" s="32"/>
      <c r="L173" s="74"/>
      <c r="O173" s="25"/>
    </row>
    <row r="174" spans="1:15" s="14" customFormat="1" x14ac:dyDescent="0.25">
      <c r="A174" s="75"/>
      <c r="B174" s="27"/>
      <c r="C174" s="32"/>
      <c r="D174" s="65"/>
      <c r="E174" s="81"/>
      <c r="H174" s="66"/>
      <c r="K174" s="32"/>
      <c r="L174" s="32"/>
      <c r="O174" s="25"/>
    </row>
    <row r="175" spans="1:15" s="14" customFormat="1" x14ac:dyDescent="0.25">
      <c r="A175" s="75"/>
      <c r="B175" s="27"/>
      <c r="C175" s="32"/>
      <c r="D175" s="65"/>
      <c r="E175" s="81"/>
      <c r="H175" s="66"/>
      <c r="K175" s="32"/>
      <c r="L175" s="32"/>
      <c r="O175" s="25"/>
    </row>
    <row r="176" spans="1:15" s="14" customFormat="1" x14ac:dyDescent="0.25">
      <c r="E176" s="81"/>
      <c r="O176" s="25"/>
    </row>
    <row r="177" spans="1:15" s="14" customFormat="1" x14ac:dyDescent="0.25">
      <c r="E177" s="81"/>
      <c r="O177" s="25"/>
    </row>
    <row r="178" spans="1:15" s="14" customFormat="1" x14ac:dyDescent="0.25">
      <c r="E178" s="81"/>
      <c r="O178" s="25"/>
    </row>
    <row r="179" spans="1:15" s="14" customFormat="1" x14ac:dyDescent="0.25">
      <c r="E179" s="81"/>
      <c r="O179" s="25"/>
    </row>
    <row r="180" spans="1:15" s="14" customFormat="1" x14ac:dyDescent="0.25">
      <c r="A180" s="25"/>
      <c r="G180" s="24"/>
      <c r="J180" s="16"/>
      <c r="K180" s="25"/>
      <c r="O180" s="25"/>
    </row>
    <row r="181" spans="1:15" s="14" customFormat="1" x14ac:dyDescent="0.25">
      <c r="A181" s="25"/>
      <c r="G181" s="24"/>
      <c r="J181" s="16"/>
      <c r="K181" s="25"/>
      <c r="O181" s="25"/>
    </row>
    <row r="182" spans="1:15" s="14" customFormat="1" x14ac:dyDescent="0.25">
      <c r="A182" s="22"/>
      <c r="G182" s="23"/>
      <c r="J182" s="16"/>
      <c r="K182" s="22"/>
      <c r="O182" s="22"/>
    </row>
    <row r="183" spans="1:15" s="14" customFormat="1" x14ac:dyDescent="0.25">
      <c r="A183" s="17"/>
      <c r="G183" s="18"/>
      <c r="J183" s="16"/>
      <c r="K183" s="17"/>
      <c r="O183" s="17"/>
    </row>
    <row r="184" spans="1:15" s="14" customFormat="1" x14ac:dyDescent="0.25">
      <c r="A184" s="17"/>
      <c r="G184" s="18"/>
      <c r="J184" s="16"/>
      <c r="K184" s="17"/>
      <c r="O184" s="17"/>
    </row>
    <row r="185" spans="1:15" s="14" customFormat="1" x14ac:dyDescent="0.25">
      <c r="A185" s="17"/>
      <c r="G185" s="18"/>
      <c r="J185" s="16"/>
      <c r="K185" s="17"/>
      <c r="O185" s="17"/>
    </row>
    <row r="186" spans="1:15" s="14" customFormat="1" x14ac:dyDescent="0.25">
      <c r="A186" s="17"/>
      <c r="G186" s="18"/>
      <c r="J186" s="16"/>
      <c r="K186" s="17"/>
      <c r="O186" s="17"/>
    </row>
    <row r="187" spans="1:15" s="14" customFormat="1" x14ac:dyDescent="0.25">
      <c r="A187" s="17"/>
      <c r="G187" s="18"/>
      <c r="J187" s="16"/>
      <c r="K187" s="17"/>
      <c r="O187" s="17"/>
    </row>
    <row r="188" spans="1:15" s="14" customFormat="1" x14ac:dyDescent="0.25">
      <c r="A188" s="17"/>
      <c r="G188" s="18"/>
      <c r="J188" s="16"/>
      <c r="K188" s="17"/>
      <c r="O188" s="17"/>
    </row>
    <row r="189" spans="1:15" s="14" customFormat="1" x14ac:dyDescent="0.25">
      <c r="A189" s="17"/>
      <c r="G189" s="18"/>
      <c r="J189" s="16"/>
      <c r="K189" s="17"/>
      <c r="O189" s="17"/>
    </row>
    <row r="190" spans="1:15" s="14" customFormat="1" x14ac:dyDescent="0.25">
      <c r="A190" s="17"/>
      <c r="G190" s="15"/>
      <c r="J190" s="16"/>
      <c r="K190" s="17"/>
      <c r="O190" s="17"/>
    </row>
    <row r="191" spans="1:15" s="14" customFormat="1" x14ac:dyDescent="0.25">
      <c r="A191" s="17"/>
      <c r="G191" s="18"/>
      <c r="J191" s="16"/>
      <c r="K191" s="17"/>
      <c r="O191" s="17"/>
    </row>
    <row r="192" spans="1:15" s="14" customFormat="1" x14ac:dyDescent="0.25">
      <c r="A192" s="17"/>
      <c r="G192" s="18"/>
      <c r="J192" s="16"/>
      <c r="K192" s="17"/>
      <c r="O192" s="17"/>
    </row>
    <row r="193" spans="1:15" s="14" customFormat="1" x14ac:dyDescent="0.25">
      <c r="A193" s="17"/>
      <c r="G193" s="15"/>
      <c r="J193" s="16"/>
      <c r="K193" s="17"/>
      <c r="O193" s="17"/>
    </row>
    <row r="194" spans="1:15" s="14" customFormat="1" x14ac:dyDescent="0.25">
      <c r="A194" s="17"/>
      <c r="G194" s="15"/>
      <c r="J194" s="16"/>
      <c r="K194" s="17"/>
      <c r="O194" s="17"/>
    </row>
    <row r="195" spans="1:15" s="14" customFormat="1" x14ac:dyDescent="0.25">
      <c r="A195" s="17"/>
      <c r="G195" s="20"/>
      <c r="J195" s="16"/>
      <c r="K195" s="17"/>
      <c r="O195" s="17"/>
    </row>
    <row r="196" spans="1:15" s="14" customFormat="1" x14ac:dyDescent="0.25">
      <c r="A196" s="17"/>
      <c r="G196" s="20"/>
      <c r="J196" s="16"/>
      <c r="K196" s="17"/>
      <c r="O196" s="17"/>
    </row>
    <row r="197" spans="1:15" s="14" customFormat="1" x14ac:dyDescent="0.25">
      <c r="A197" s="17"/>
      <c r="G197" s="18"/>
      <c r="J197" s="16"/>
      <c r="K197" s="17"/>
      <c r="O197" s="17"/>
    </row>
    <row r="198" spans="1:15" s="14" customFormat="1" x14ac:dyDescent="0.25">
      <c r="A198" s="17"/>
      <c r="G198" s="18"/>
      <c r="J198" s="16"/>
      <c r="K198" s="17"/>
      <c r="O198" s="17"/>
    </row>
    <row r="199" spans="1:15" s="14" customFormat="1" x14ac:dyDescent="0.25">
      <c r="A199" s="17"/>
      <c r="G199" s="18"/>
      <c r="J199" s="16"/>
      <c r="K199" s="17"/>
      <c r="O199" s="17"/>
    </row>
    <row r="200" spans="1:15" s="14" customFormat="1" x14ac:dyDescent="0.25">
      <c r="A200" s="17"/>
      <c r="G200" s="18"/>
      <c r="J200" s="16"/>
      <c r="K200" s="17"/>
      <c r="O200" s="17"/>
    </row>
    <row r="201" spans="1:15" s="14" customFormat="1" x14ac:dyDescent="0.25">
      <c r="A201" s="17"/>
      <c r="G201" s="18"/>
      <c r="J201" s="16"/>
      <c r="K201" s="17"/>
      <c r="O201" s="17"/>
    </row>
    <row r="202" spans="1:15" s="14" customFormat="1" x14ac:dyDescent="0.25">
      <c r="A202" s="17"/>
      <c r="G202" s="18"/>
      <c r="J202" s="16"/>
      <c r="K202" s="17"/>
      <c r="O202" s="17"/>
    </row>
    <row r="203" spans="1:15" s="14" customFormat="1" x14ac:dyDescent="0.25">
      <c r="A203" s="17"/>
      <c r="G203" s="20"/>
      <c r="J203" s="16"/>
      <c r="K203" s="17"/>
      <c r="O203" s="17"/>
    </row>
    <row r="204" spans="1:15" s="14" customFormat="1" x14ac:dyDescent="0.25">
      <c r="A204" s="17"/>
      <c r="G204" s="20"/>
      <c r="J204" s="16"/>
      <c r="K204" s="17"/>
      <c r="O204" s="17"/>
    </row>
    <row r="205" spans="1:15" s="14" customFormat="1" x14ac:dyDescent="0.25">
      <c r="A205" s="17"/>
      <c r="G205" s="15"/>
      <c r="J205" s="16"/>
      <c r="K205" s="17"/>
      <c r="O205" s="17"/>
    </row>
    <row r="206" spans="1:15" s="14" customFormat="1" x14ac:dyDescent="0.25">
      <c r="A206" s="17"/>
      <c r="G206" s="18"/>
      <c r="J206" s="16"/>
      <c r="K206" s="17"/>
      <c r="O206" s="17"/>
    </row>
    <row r="207" spans="1:15" s="14" customFormat="1" x14ac:dyDescent="0.25">
      <c r="A207" s="17"/>
      <c r="G207" s="18"/>
      <c r="J207" s="16"/>
      <c r="K207" s="17"/>
      <c r="O207" s="17"/>
    </row>
    <row r="208" spans="1:15" s="14" customFormat="1" x14ac:dyDescent="0.25">
      <c r="A208" s="17"/>
      <c r="G208" s="20"/>
      <c r="J208" s="16"/>
      <c r="K208" s="17"/>
      <c r="O208" s="17"/>
    </row>
    <row r="209" spans="1:15" s="14" customFormat="1" x14ac:dyDescent="0.25">
      <c r="A209" s="17"/>
      <c r="G209" s="15"/>
      <c r="J209" s="16"/>
      <c r="K209" s="17"/>
      <c r="O209" s="17"/>
    </row>
    <row r="210" spans="1:15" s="14" customFormat="1" x14ac:dyDescent="0.25">
      <c r="A210" s="17"/>
      <c r="G210" s="15"/>
      <c r="J210" s="16"/>
      <c r="K210" s="17"/>
      <c r="O210" s="17"/>
    </row>
    <row r="211" spans="1:15" s="14" customFormat="1" x14ac:dyDescent="0.25">
      <c r="A211" s="17"/>
      <c r="B211" s="19"/>
      <c r="G211" s="20"/>
      <c r="J211" s="16"/>
      <c r="K211" s="17"/>
      <c r="O211" s="17"/>
    </row>
    <row r="212" spans="1:15" s="14" customFormat="1" x14ac:dyDescent="0.25">
      <c r="A212" s="17"/>
      <c r="B212" s="19"/>
      <c r="G212" s="20"/>
      <c r="J212" s="16"/>
      <c r="K212" s="17"/>
      <c r="O212" s="17"/>
    </row>
    <row r="213" spans="1:15" s="14" customFormat="1" x14ac:dyDescent="0.25">
      <c r="A213" s="17"/>
      <c r="G213" s="15"/>
      <c r="J213" s="16"/>
      <c r="K213" s="17"/>
      <c r="O213" s="17"/>
    </row>
    <row r="214" spans="1:15" s="14" customFormat="1" x14ac:dyDescent="0.25">
      <c r="A214" s="17"/>
      <c r="G214" s="18"/>
      <c r="J214" s="16"/>
      <c r="K214" s="17"/>
      <c r="O214" s="17"/>
    </row>
    <row r="215" spans="1:15" s="14" customFormat="1" x14ac:dyDescent="0.25">
      <c r="A215" s="17"/>
      <c r="G215" s="18"/>
      <c r="J215" s="16"/>
      <c r="K215" s="17"/>
      <c r="O215" s="17"/>
    </row>
    <row r="216" spans="1:15" s="14" customFormat="1" x14ac:dyDescent="0.25">
      <c r="A216" s="17"/>
      <c r="G216" s="18"/>
      <c r="J216" s="16"/>
      <c r="K216" s="17"/>
      <c r="O216" s="17"/>
    </row>
    <row r="217" spans="1:15" s="14" customFormat="1" x14ac:dyDescent="0.25">
      <c r="A217" s="17"/>
      <c r="G217" s="18"/>
      <c r="J217" s="16"/>
      <c r="K217" s="17"/>
      <c r="O217" s="17"/>
    </row>
    <row r="218" spans="1:15" s="14" customFormat="1" x14ac:dyDescent="0.25">
      <c r="A218" s="17"/>
      <c r="G218" s="15"/>
      <c r="J218" s="16"/>
      <c r="K218" s="17"/>
      <c r="O218" s="17"/>
    </row>
    <row r="219" spans="1:15" s="14" customFormat="1" x14ac:dyDescent="0.25">
      <c r="A219" s="17"/>
      <c r="G219" s="15"/>
      <c r="J219" s="16"/>
      <c r="K219" s="17"/>
      <c r="O219" s="17"/>
    </row>
    <row r="220" spans="1:15" s="14" customFormat="1" x14ac:dyDescent="0.25">
      <c r="A220" s="17"/>
      <c r="G220" s="15"/>
      <c r="J220" s="16"/>
      <c r="K220" s="17"/>
      <c r="O220" s="17"/>
    </row>
    <row r="221" spans="1:15" s="14" customFormat="1" x14ac:dyDescent="0.25">
      <c r="A221" s="17"/>
      <c r="G221" s="15"/>
      <c r="J221" s="16"/>
      <c r="K221" s="17"/>
      <c r="O221" s="17"/>
    </row>
    <row r="222" spans="1:15" s="14" customFormat="1" x14ac:dyDescent="0.25">
      <c r="A222" s="17"/>
      <c r="G222" s="18"/>
      <c r="J222" s="16"/>
      <c r="K222" s="17"/>
      <c r="O222" s="17"/>
    </row>
    <row r="223" spans="1:15" s="14" customFormat="1" x14ac:dyDescent="0.25">
      <c r="A223" s="17"/>
      <c r="G223" s="18"/>
      <c r="J223" s="16"/>
      <c r="K223" s="17"/>
      <c r="O223" s="17"/>
    </row>
    <row r="224" spans="1:15" s="14" customFormat="1" x14ac:dyDescent="0.25">
      <c r="A224" s="17"/>
      <c r="G224" s="18"/>
      <c r="J224" s="16"/>
      <c r="K224" s="17"/>
      <c r="O224" s="17"/>
    </row>
    <row r="225" spans="1:15" s="14" customFormat="1" x14ac:dyDescent="0.25">
      <c r="A225" s="17"/>
      <c r="G225" s="18"/>
      <c r="J225" s="16"/>
      <c r="K225" s="17"/>
      <c r="O225" s="17"/>
    </row>
    <row r="226" spans="1:15" s="14" customFormat="1" x14ac:dyDescent="0.25">
      <c r="A226" s="17"/>
      <c r="G226" s="18"/>
      <c r="J226" s="16"/>
      <c r="K226" s="17"/>
      <c r="O226" s="17"/>
    </row>
    <row r="227" spans="1:15" s="14" customFormat="1" x14ac:dyDescent="0.25">
      <c r="A227" s="17"/>
      <c r="G227" s="18"/>
      <c r="J227" s="16"/>
      <c r="K227" s="17"/>
      <c r="O227" s="17"/>
    </row>
    <row r="228" spans="1:15" s="14" customFormat="1" x14ac:dyDescent="0.25">
      <c r="A228" s="17"/>
      <c r="G228" s="18"/>
      <c r="J228" s="16"/>
      <c r="K228" s="17"/>
      <c r="O228" s="17"/>
    </row>
    <row r="229" spans="1:15" s="14" customFormat="1" x14ac:dyDescent="0.25">
      <c r="A229" s="17"/>
      <c r="G229" s="15"/>
      <c r="J229" s="16"/>
      <c r="K229" s="17"/>
      <c r="O229" s="17"/>
    </row>
    <row r="230" spans="1:15" s="14" customFormat="1" x14ac:dyDescent="0.25">
      <c r="A230" s="17"/>
      <c r="G230" s="15"/>
      <c r="J230" s="16"/>
      <c r="K230" s="17"/>
      <c r="O230" s="17"/>
    </row>
    <row r="231" spans="1:15" s="14" customFormat="1" x14ac:dyDescent="0.25">
      <c r="A231" s="17"/>
      <c r="G231" s="15"/>
      <c r="J231" s="16"/>
      <c r="K231" s="17"/>
      <c r="O231" s="17"/>
    </row>
    <row r="232" spans="1:15" s="14" customFormat="1" x14ac:dyDescent="0.25">
      <c r="A232" s="17"/>
      <c r="G232" s="15"/>
      <c r="J232" s="16"/>
      <c r="K232" s="17"/>
      <c r="O232" s="17"/>
    </row>
    <row r="233" spans="1:15" s="14" customFormat="1" x14ac:dyDescent="0.25">
      <c r="A233" s="17"/>
      <c r="G233" s="15"/>
      <c r="J233" s="16"/>
      <c r="K233" s="17"/>
      <c r="O233" s="17"/>
    </row>
    <row r="234" spans="1:15" s="14" customFormat="1" x14ac:dyDescent="0.25">
      <c r="A234" s="17"/>
      <c r="G234" s="15"/>
      <c r="J234" s="16"/>
      <c r="K234" s="17"/>
      <c r="O234" s="17"/>
    </row>
    <row r="235" spans="1:15" s="14" customFormat="1" x14ac:dyDescent="0.25">
      <c r="A235" s="17"/>
      <c r="G235" s="15"/>
      <c r="J235" s="16"/>
      <c r="K235" s="17"/>
      <c r="O235" s="17"/>
    </row>
    <row r="236" spans="1:15" s="14" customFormat="1" x14ac:dyDescent="0.25">
      <c r="A236" s="17"/>
      <c r="G236" s="15"/>
      <c r="J236" s="16"/>
      <c r="K236" s="17"/>
      <c r="O236" s="17"/>
    </row>
    <row r="237" spans="1:15" s="14" customFormat="1" x14ac:dyDescent="0.25">
      <c r="A237" s="17"/>
      <c r="G237" s="15"/>
      <c r="J237" s="16"/>
      <c r="K237" s="17"/>
      <c r="O237" s="17"/>
    </row>
    <row r="238" spans="1:15" s="14" customFormat="1" x14ac:dyDescent="0.25">
      <c r="A238" s="17"/>
      <c r="G238" s="15"/>
      <c r="J238" s="16"/>
      <c r="K238" s="17"/>
      <c r="O238" s="17"/>
    </row>
    <row r="239" spans="1:15" s="14" customFormat="1" x14ac:dyDescent="0.25">
      <c r="A239" s="17"/>
      <c r="G239" s="15"/>
      <c r="J239" s="16"/>
      <c r="K239" s="17"/>
      <c r="O239" s="17"/>
    </row>
    <row r="240" spans="1:15" s="14" customFormat="1" x14ac:dyDescent="0.25">
      <c r="G240" s="20"/>
      <c r="K240" s="21"/>
    </row>
    <row r="241" spans="7:11" s="14" customFormat="1" x14ac:dyDescent="0.25">
      <c r="G241" s="20"/>
      <c r="K241" s="21"/>
    </row>
  </sheetData>
  <conditionalFormatting sqref="A2:A33">
    <cfRule type="duplicateValues" dxfId="36" priority="11"/>
    <cfRule type="duplicateValues" dxfId="35" priority="12"/>
  </conditionalFormatting>
  <conditionalFormatting sqref="A34:A37">
    <cfRule type="duplicateValues" dxfId="34" priority="6"/>
    <cfRule type="duplicateValues" dxfId="33" priority="7"/>
  </conditionalFormatting>
  <conditionalFormatting sqref="A39:A40 A42:A67 A91:A172 C69:C71 C74:C75">
    <cfRule type="duplicateValues" dxfId="32" priority="18"/>
  </conditionalFormatting>
  <conditionalFormatting sqref="A54:A67 A78:A172 C76:C77 G63:G68">
    <cfRule type="duplicateValues" dxfId="31" priority="19"/>
  </conditionalFormatting>
  <conditionalFormatting sqref="A180:A241">
    <cfRule type="duplicateValues" dxfId="30" priority="59"/>
  </conditionalFormatting>
  <conditionalFormatting sqref="D38">
    <cfRule type="duplicateValues" dxfId="29" priority="14"/>
  </conditionalFormatting>
  <conditionalFormatting sqref="D38:D62">
    <cfRule type="duplicateValues" dxfId="28" priority="20"/>
  </conditionalFormatting>
  <conditionalFormatting sqref="D39:D40 D44">
    <cfRule type="duplicateValues" dxfId="27" priority="15"/>
  </conditionalFormatting>
  <conditionalFormatting sqref="D41">
    <cfRule type="duplicateValues" dxfId="26" priority="17"/>
  </conditionalFormatting>
  <conditionalFormatting sqref="D42:D43 D45:D62">
    <cfRule type="duplicateValues" dxfId="25" priority="21"/>
  </conditionalFormatting>
  <conditionalFormatting sqref="K180:K189">
    <cfRule type="duplicateValues" dxfId="24" priority="48"/>
  </conditionalFormatting>
  <conditionalFormatting sqref="K190:K208">
    <cfRule type="duplicateValues" dxfId="23" priority="47"/>
  </conditionalFormatting>
  <conditionalFormatting sqref="K209:K220 K222:K225">
    <cfRule type="duplicateValues" dxfId="22" priority="46"/>
  </conditionalFormatting>
  <conditionalFormatting sqref="K221">
    <cfRule type="duplicateValues" dxfId="21" priority="38"/>
  </conditionalFormatting>
  <conditionalFormatting sqref="K226">
    <cfRule type="duplicateValues" dxfId="20" priority="39"/>
  </conditionalFormatting>
  <conditionalFormatting sqref="K227:K233">
    <cfRule type="duplicateValues" dxfId="19" priority="45"/>
  </conditionalFormatting>
  <conditionalFormatting sqref="K234:K239">
    <cfRule type="duplicateValues" dxfId="18" priority="44"/>
  </conditionalFormatting>
  <conditionalFormatting sqref="P54:P63">
    <cfRule type="duplicateValues" dxfId="17" priority="22"/>
  </conditionalFormatting>
  <conditionalFormatting sqref="T17:T18 U13 T11:U11 T13:T14">
    <cfRule type="duplicateValues" dxfId="16" priority="8"/>
  </conditionalFormatting>
  <conditionalFormatting sqref="T20 X4 U2:W2 T3:W10">
    <cfRule type="duplicateValues" dxfId="15" priority="10"/>
  </conditionalFormatting>
  <conditionalFormatting sqref="T20 X4 V4:W10 T4:T10 U5:U10">
    <cfRule type="duplicateValues" dxfId="14" priority="9"/>
  </conditionalFormatting>
  <conditionalFormatting sqref="T32">
    <cfRule type="duplicateValues" dxfId="13" priority="2"/>
    <cfRule type="duplicateValues" dxfId="12" priority="3"/>
  </conditionalFormatting>
  <conditionalFormatting sqref="T59:U62 U77 V61:V62 V71 W77">
    <cfRule type="duplicateValues" dxfId="11" priority="13"/>
  </conditionalFormatting>
  <conditionalFormatting sqref="X29:X30 Y25 X23:Y23 X25:X26">
    <cfRule type="duplicateValues" dxfId="10" priority="1"/>
  </conditionalFormatting>
  <conditionalFormatting sqref="AB24 U22:W22 T23:W30">
    <cfRule type="duplicateValues" dxfId="9" priority="5"/>
  </conditionalFormatting>
  <conditionalFormatting sqref="AB24 V24:W30 T24:T30 U25:U30">
    <cfRule type="duplicateValues" dxfId="8" priority="4"/>
  </conditionalFormatting>
  <pageMargins left="0.7" right="0.7" top="0.75" bottom="0.75" header="0.3" footer="0.3"/>
  <pageSetup paperSize="9" orientation="portrait" horizontalDpi="4294967293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39997558519241921"/>
  </sheetPr>
  <dimension ref="A1:F963"/>
  <sheetViews>
    <sheetView workbookViewId="0">
      <pane xSplit="1" ySplit="1" topLeftCell="B65" activePane="bottomRight" state="frozen"/>
      <selection pane="topRight" activeCell="B1" sqref="B1"/>
      <selection pane="bottomLeft" activeCell="A2" sqref="A2"/>
      <selection pane="bottomRight" activeCell="G40" sqref="G40"/>
    </sheetView>
  </sheetViews>
  <sheetFormatPr defaultRowHeight="15" x14ac:dyDescent="0.25"/>
  <cols>
    <col min="1" max="1" width="52.7109375" customWidth="1"/>
    <col min="2" max="2" width="13.140625" bestFit="1" customWidth="1"/>
    <col min="3" max="3" width="27.140625" customWidth="1"/>
    <col min="4" max="4" width="21.42578125" customWidth="1"/>
    <col min="5" max="5" width="51" bestFit="1" customWidth="1"/>
  </cols>
  <sheetData>
    <row r="1" spans="1:6" x14ac:dyDescent="0.25">
      <c r="A1" t="s">
        <v>71</v>
      </c>
      <c r="B1" t="s">
        <v>72</v>
      </c>
      <c r="C1" t="s">
        <v>73</v>
      </c>
      <c r="D1" t="s">
        <v>74</v>
      </c>
      <c r="E1" t="s">
        <v>47</v>
      </c>
      <c r="F1" t="s">
        <v>75</v>
      </c>
    </row>
    <row r="2" spans="1:6" x14ac:dyDescent="0.25">
      <c r="A2" s="19" t="s">
        <v>334</v>
      </c>
      <c r="B2" t="s">
        <v>76</v>
      </c>
      <c r="C2" t="s">
        <v>77</v>
      </c>
      <c r="D2" t="s">
        <v>78</v>
      </c>
      <c r="E2" t="s">
        <v>443</v>
      </c>
      <c r="F2">
        <v>2000168</v>
      </c>
    </row>
    <row r="3" spans="1:6" x14ac:dyDescent="0.25">
      <c r="A3" s="19" t="s">
        <v>335</v>
      </c>
      <c r="B3" t="s">
        <v>76</v>
      </c>
      <c r="C3" t="s">
        <v>77</v>
      </c>
      <c r="D3" t="s">
        <v>78</v>
      </c>
      <c r="E3" t="s">
        <v>444</v>
      </c>
      <c r="F3">
        <v>2000169</v>
      </c>
    </row>
    <row r="4" spans="1:6" x14ac:dyDescent="0.25">
      <c r="A4" s="19" t="s">
        <v>336</v>
      </c>
      <c r="B4" t="s">
        <v>76</v>
      </c>
      <c r="C4" t="s">
        <v>77</v>
      </c>
      <c r="D4" t="s">
        <v>78</v>
      </c>
      <c r="E4" t="s">
        <v>445</v>
      </c>
      <c r="F4">
        <v>2000170</v>
      </c>
    </row>
    <row r="5" spans="1:6" x14ac:dyDescent="0.25">
      <c r="A5" s="19" t="s">
        <v>337</v>
      </c>
      <c r="B5" t="s">
        <v>76</v>
      </c>
      <c r="C5" t="s">
        <v>77</v>
      </c>
      <c r="D5" t="s">
        <v>78</v>
      </c>
      <c r="E5" t="s">
        <v>446</v>
      </c>
      <c r="F5">
        <v>2000171</v>
      </c>
    </row>
    <row r="6" spans="1:6" x14ac:dyDescent="0.25">
      <c r="A6" s="19" t="s">
        <v>338</v>
      </c>
      <c r="B6" t="s">
        <v>76</v>
      </c>
      <c r="C6" t="s">
        <v>77</v>
      </c>
      <c r="D6" t="s">
        <v>78</v>
      </c>
      <c r="E6" t="s">
        <v>447</v>
      </c>
      <c r="F6">
        <v>2000172</v>
      </c>
    </row>
    <row r="7" spans="1:6" x14ac:dyDescent="0.25">
      <c r="A7" s="19" t="s">
        <v>339</v>
      </c>
      <c r="B7" t="s">
        <v>76</v>
      </c>
      <c r="C7" t="s">
        <v>77</v>
      </c>
      <c r="D7" t="s">
        <v>78</v>
      </c>
      <c r="E7" t="s">
        <v>448</v>
      </c>
      <c r="F7">
        <v>2000173</v>
      </c>
    </row>
    <row r="8" spans="1:6" x14ac:dyDescent="0.25">
      <c r="A8" s="19" t="s">
        <v>340</v>
      </c>
      <c r="B8" t="s">
        <v>76</v>
      </c>
      <c r="C8" t="s">
        <v>77</v>
      </c>
      <c r="D8" t="s">
        <v>78</v>
      </c>
      <c r="E8" t="s">
        <v>449</v>
      </c>
      <c r="F8">
        <v>2000174</v>
      </c>
    </row>
    <row r="9" spans="1:6" x14ac:dyDescent="0.25">
      <c r="A9" s="19" t="s">
        <v>341</v>
      </c>
      <c r="B9" t="s">
        <v>76</v>
      </c>
      <c r="C9" t="s">
        <v>77</v>
      </c>
      <c r="D9" t="s">
        <v>78</v>
      </c>
      <c r="E9" t="s">
        <v>450</v>
      </c>
      <c r="F9">
        <v>2000175</v>
      </c>
    </row>
    <row r="10" spans="1:6" x14ac:dyDescent="0.25">
      <c r="A10" s="19" t="s">
        <v>342</v>
      </c>
      <c r="B10" t="s">
        <v>76</v>
      </c>
      <c r="C10" t="s">
        <v>77</v>
      </c>
      <c r="D10" t="s">
        <v>78</v>
      </c>
      <c r="E10" t="s">
        <v>451</v>
      </c>
      <c r="F10">
        <v>2000176</v>
      </c>
    </row>
    <row r="11" spans="1:6" x14ac:dyDescent="0.25">
      <c r="A11" s="19" t="s">
        <v>343</v>
      </c>
      <c r="B11" t="s">
        <v>76</v>
      </c>
      <c r="C11" t="s">
        <v>77</v>
      </c>
      <c r="D11" t="s">
        <v>78</v>
      </c>
      <c r="E11" t="s">
        <v>452</v>
      </c>
      <c r="F11">
        <v>2000177</v>
      </c>
    </row>
    <row r="12" spans="1:6" x14ac:dyDescent="0.25">
      <c r="A12" s="19" t="s">
        <v>344</v>
      </c>
      <c r="B12" t="s">
        <v>76</v>
      </c>
      <c r="C12" t="s">
        <v>77</v>
      </c>
      <c r="D12" t="s">
        <v>78</v>
      </c>
      <c r="E12" t="s">
        <v>453</v>
      </c>
      <c r="F12">
        <v>2000178</v>
      </c>
    </row>
    <row r="13" spans="1:6" x14ac:dyDescent="0.25">
      <c r="A13" s="19" t="s">
        <v>345</v>
      </c>
      <c r="B13" t="s">
        <v>76</v>
      </c>
      <c r="C13" t="s">
        <v>77</v>
      </c>
      <c r="D13" t="s">
        <v>78</v>
      </c>
      <c r="E13" t="s">
        <v>454</v>
      </c>
      <c r="F13">
        <v>2000179</v>
      </c>
    </row>
    <row r="14" spans="1:6" x14ac:dyDescent="0.25">
      <c r="A14" s="19" t="s">
        <v>346</v>
      </c>
      <c r="B14" t="s">
        <v>76</v>
      </c>
      <c r="C14" t="s">
        <v>77</v>
      </c>
      <c r="D14" t="s">
        <v>78</v>
      </c>
      <c r="E14" t="s">
        <v>455</v>
      </c>
      <c r="F14">
        <v>2000180</v>
      </c>
    </row>
    <row r="15" spans="1:6" x14ac:dyDescent="0.25">
      <c r="A15" s="19" t="s">
        <v>347</v>
      </c>
      <c r="B15" t="s">
        <v>76</v>
      </c>
      <c r="C15" t="s">
        <v>77</v>
      </c>
      <c r="D15" t="s">
        <v>78</v>
      </c>
      <c r="E15" t="s">
        <v>456</v>
      </c>
      <c r="F15">
        <v>2000181</v>
      </c>
    </row>
    <row r="16" spans="1:6" x14ac:dyDescent="0.25">
      <c r="A16" s="19" t="s">
        <v>348</v>
      </c>
      <c r="B16" t="s">
        <v>76</v>
      </c>
      <c r="C16" t="s">
        <v>77</v>
      </c>
      <c r="D16" t="s">
        <v>78</v>
      </c>
      <c r="E16" t="s">
        <v>457</v>
      </c>
      <c r="F16">
        <v>2000182</v>
      </c>
    </row>
    <row r="17" spans="1:6" x14ac:dyDescent="0.25">
      <c r="A17" s="19" t="s">
        <v>349</v>
      </c>
      <c r="B17" t="s">
        <v>76</v>
      </c>
      <c r="C17" t="s">
        <v>77</v>
      </c>
      <c r="D17" t="s">
        <v>78</v>
      </c>
      <c r="E17" t="s">
        <v>458</v>
      </c>
      <c r="F17">
        <v>2000183</v>
      </c>
    </row>
    <row r="18" spans="1:6" x14ac:dyDescent="0.25">
      <c r="A18" s="19" t="s">
        <v>350</v>
      </c>
      <c r="B18" t="s">
        <v>76</v>
      </c>
      <c r="C18" t="s">
        <v>77</v>
      </c>
      <c r="D18" t="s">
        <v>78</v>
      </c>
      <c r="E18" t="s">
        <v>459</v>
      </c>
      <c r="F18">
        <v>2000184</v>
      </c>
    </row>
    <row r="19" spans="1:6" x14ac:dyDescent="0.25">
      <c r="A19" s="19" t="s">
        <v>351</v>
      </c>
      <c r="B19" t="s">
        <v>76</v>
      </c>
      <c r="C19" t="s">
        <v>77</v>
      </c>
      <c r="D19" t="s">
        <v>78</v>
      </c>
      <c r="E19" t="s">
        <v>460</v>
      </c>
      <c r="F19">
        <v>2000185</v>
      </c>
    </row>
    <row r="20" spans="1:6" x14ac:dyDescent="0.25">
      <c r="A20" s="19" t="s">
        <v>352</v>
      </c>
      <c r="B20" t="s">
        <v>76</v>
      </c>
      <c r="C20" t="s">
        <v>77</v>
      </c>
      <c r="D20" t="s">
        <v>78</v>
      </c>
      <c r="E20" t="s">
        <v>461</v>
      </c>
      <c r="F20">
        <v>2000186</v>
      </c>
    </row>
    <row r="21" spans="1:6" x14ac:dyDescent="0.25">
      <c r="A21" s="19" t="s">
        <v>353</v>
      </c>
      <c r="B21" t="s">
        <v>76</v>
      </c>
      <c r="C21" t="s">
        <v>77</v>
      </c>
      <c r="D21" t="s">
        <v>78</v>
      </c>
      <c r="E21" t="s">
        <v>462</v>
      </c>
      <c r="F21">
        <v>2000187</v>
      </c>
    </row>
    <row r="22" spans="1:6" x14ac:dyDescent="0.25">
      <c r="A22" s="19" t="s">
        <v>354</v>
      </c>
      <c r="B22" t="s">
        <v>76</v>
      </c>
      <c r="C22" t="s">
        <v>77</v>
      </c>
      <c r="D22" t="s">
        <v>78</v>
      </c>
      <c r="E22" t="s">
        <v>463</v>
      </c>
      <c r="F22">
        <v>2000188</v>
      </c>
    </row>
    <row r="23" spans="1:6" x14ac:dyDescent="0.25">
      <c r="A23" s="19" t="s">
        <v>355</v>
      </c>
      <c r="B23" t="s">
        <v>76</v>
      </c>
      <c r="C23" t="s">
        <v>77</v>
      </c>
      <c r="D23" t="s">
        <v>78</v>
      </c>
      <c r="E23" t="s">
        <v>464</v>
      </c>
      <c r="F23">
        <v>2000189</v>
      </c>
    </row>
    <row r="24" spans="1:6" x14ac:dyDescent="0.25">
      <c r="A24" s="19" t="s">
        <v>356</v>
      </c>
      <c r="B24" t="s">
        <v>76</v>
      </c>
      <c r="C24" t="s">
        <v>77</v>
      </c>
      <c r="D24" t="s">
        <v>78</v>
      </c>
      <c r="E24" t="s">
        <v>465</v>
      </c>
      <c r="F24">
        <v>2000190</v>
      </c>
    </row>
    <row r="25" spans="1:6" x14ac:dyDescent="0.25">
      <c r="A25" s="19" t="s">
        <v>357</v>
      </c>
      <c r="B25" t="s">
        <v>76</v>
      </c>
      <c r="C25" t="s">
        <v>77</v>
      </c>
      <c r="D25" t="s">
        <v>78</v>
      </c>
      <c r="E25" t="s">
        <v>466</v>
      </c>
      <c r="F25">
        <v>2000191</v>
      </c>
    </row>
    <row r="26" spans="1:6" x14ac:dyDescent="0.25">
      <c r="A26" s="19" t="s">
        <v>358</v>
      </c>
      <c r="B26" t="s">
        <v>76</v>
      </c>
      <c r="C26" t="s">
        <v>77</v>
      </c>
      <c r="D26" t="s">
        <v>78</v>
      </c>
      <c r="E26" t="s">
        <v>467</v>
      </c>
      <c r="F26">
        <v>2000192</v>
      </c>
    </row>
    <row r="27" spans="1:6" x14ac:dyDescent="0.25">
      <c r="A27" s="19" t="s">
        <v>359</v>
      </c>
      <c r="B27" t="s">
        <v>76</v>
      </c>
      <c r="C27" t="s">
        <v>77</v>
      </c>
      <c r="D27" t="s">
        <v>78</v>
      </c>
      <c r="E27" t="s">
        <v>468</v>
      </c>
      <c r="F27">
        <v>2000193</v>
      </c>
    </row>
    <row r="28" spans="1:6" x14ac:dyDescent="0.25">
      <c r="A28" s="19" t="s">
        <v>360</v>
      </c>
      <c r="B28" t="s">
        <v>76</v>
      </c>
      <c r="C28" t="s">
        <v>77</v>
      </c>
      <c r="D28" t="s">
        <v>78</v>
      </c>
      <c r="E28" t="s">
        <v>469</v>
      </c>
      <c r="F28">
        <v>2000194</v>
      </c>
    </row>
    <row r="29" spans="1:6" x14ac:dyDescent="0.25">
      <c r="A29" s="19" t="s">
        <v>361</v>
      </c>
      <c r="B29" t="s">
        <v>76</v>
      </c>
      <c r="C29" t="s">
        <v>77</v>
      </c>
      <c r="D29" t="s">
        <v>78</v>
      </c>
      <c r="E29" t="s">
        <v>470</v>
      </c>
      <c r="F29">
        <v>2000195</v>
      </c>
    </row>
    <row r="30" spans="1:6" x14ac:dyDescent="0.25">
      <c r="A30" s="19" t="s">
        <v>362</v>
      </c>
      <c r="B30" t="s">
        <v>76</v>
      </c>
      <c r="C30" t="s">
        <v>77</v>
      </c>
      <c r="D30" t="s">
        <v>78</v>
      </c>
      <c r="E30" t="s">
        <v>471</v>
      </c>
      <c r="F30">
        <v>2000196</v>
      </c>
    </row>
    <row r="31" spans="1:6" x14ac:dyDescent="0.25">
      <c r="A31" s="19" t="s">
        <v>363</v>
      </c>
      <c r="B31" t="s">
        <v>76</v>
      </c>
      <c r="C31" t="s">
        <v>77</v>
      </c>
      <c r="D31" t="s">
        <v>78</v>
      </c>
      <c r="E31" t="s">
        <v>472</v>
      </c>
      <c r="F31">
        <v>2000197</v>
      </c>
    </row>
    <row r="32" spans="1:6" x14ac:dyDescent="0.25">
      <c r="A32" s="19" t="s">
        <v>364</v>
      </c>
      <c r="B32" t="s">
        <v>76</v>
      </c>
      <c r="C32" t="s">
        <v>77</v>
      </c>
      <c r="D32" t="s">
        <v>78</v>
      </c>
      <c r="E32" t="s">
        <v>473</v>
      </c>
      <c r="F32">
        <v>2000198</v>
      </c>
    </row>
    <row r="33" spans="1:6" x14ac:dyDescent="0.25">
      <c r="A33" s="19" t="s">
        <v>365</v>
      </c>
      <c r="B33" t="s">
        <v>76</v>
      </c>
      <c r="C33" t="s">
        <v>77</v>
      </c>
      <c r="D33" t="s">
        <v>78</v>
      </c>
      <c r="E33" t="s">
        <v>474</v>
      </c>
      <c r="F33">
        <v>2000199</v>
      </c>
    </row>
    <row r="34" spans="1:6" x14ac:dyDescent="0.25">
      <c r="A34" s="19" t="s">
        <v>366</v>
      </c>
      <c r="B34" t="s">
        <v>76</v>
      </c>
      <c r="C34" t="s">
        <v>77</v>
      </c>
      <c r="D34" t="s">
        <v>78</v>
      </c>
      <c r="E34" t="s">
        <v>475</v>
      </c>
      <c r="F34">
        <v>2000200</v>
      </c>
    </row>
    <row r="35" spans="1:6" x14ac:dyDescent="0.25">
      <c r="A35" s="19" t="s">
        <v>367</v>
      </c>
      <c r="B35" t="s">
        <v>76</v>
      </c>
      <c r="C35" t="s">
        <v>77</v>
      </c>
      <c r="D35" t="s">
        <v>78</v>
      </c>
      <c r="E35" t="s">
        <v>476</v>
      </c>
      <c r="F35">
        <v>2000201</v>
      </c>
    </row>
    <row r="36" spans="1:6" x14ac:dyDescent="0.25">
      <c r="A36" s="19" t="s">
        <v>368</v>
      </c>
      <c r="B36" t="s">
        <v>76</v>
      </c>
      <c r="C36" t="s">
        <v>77</v>
      </c>
      <c r="D36" t="s">
        <v>78</v>
      </c>
      <c r="E36" t="s">
        <v>477</v>
      </c>
      <c r="F36">
        <v>2000202</v>
      </c>
    </row>
    <row r="37" spans="1:6" x14ac:dyDescent="0.25">
      <c r="A37" s="19" t="s">
        <v>369</v>
      </c>
      <c r="B37" t="s">
        <v>76</v>
      </c>
      <c r="C37" t="s">
        <v>77</v>
      </c>
      <c r="D37" t="s">
        <v>78</v>
      </c>
      <c r="E37" t="s">
        <v>478</v>
      </c>
      <c r="F37">
        <v>2000203</v>
      </c>
    </row>
    <row r="38" spans="1:6" x14ac:dyDescent="0.25">
      <c r="A38" s="19" t="s">
        <v>370</v>
      </c>
      <c r="B38" t="s">
        <v>76</v>
      </c>
      <c r="C38" t="s">
        <v>77</v>
      </c>
      <c r="D38" t="s">
        <v>78</v>
      </c>
      <c r="E38" t="s">
        <v>479</v>
      </c>
      <c r="F38">
        <v>2000204</v>
      </c>
    </row>
    <row r="39" spans="1:6" x14ac:dyDescent="0.25">
      <c r="A39" s="19" t="s">
        <v>371</v>
      </c>
      <c r="B39" t="s">
        <v>76</v>
      </c>
      <c r="C39" t="s">
        <v>77</v>
      </c>
      <c r="D39" t="s">
        <v>78</v>
      </c>
      <c r="E39" t="s">
        <v>480</v>
      </c>
      <c r="F39">
        <v>2000205</v>
      </c>
    </row>
    <row r="40" spans="1:6" x14ac:dyDescent="0.25">
      <c r="A40" s="19" t="s">
        <v>372</v>
      </c>
      <c r="B40" t="s">
        <v>76</v>
      </c>
      <c r="C40" t="s">
        <v>77</v>
      </c>
      <c r="D40" t="s">
        <v>78</v>
      </c>
      <c r="E40" t="s">
        <v>481</v>
      </c>
      <c r="F40">
        <v>2000206</v>
      </c>
    </row>
    <row r="41" spans="1:6" x14ac:dyDescent="0.25">
      <c r="A41" s="19" t="s">
        <v>373</v>
      </c>
      <c r="B41" t="s">
        <v>76</v>
      </c>
      <c r="C41" t="s">
        <v>77</v>
      </c>
      <c r="D41" t="s">
        <v>78</v>
      </c>
      <c r="E41" t="s">
        <v>482</v>
      </c>
      <c r="F41">
        <v>2000207</v>
      </c>
    </row>
    <row r="42" spans="1:6" x14ac:dyDescent="0.25">
      <c r="A42" s="19" t="s">
        <v>374</v>
      </c>
      <c r="B42" t="s">
        <v>76</v>
      </c>
      <c r="C42" t="s">
        <v>77</v>
      </c>
      <c r="D42" t="s">
        <v>78</v>
      </c>
      <c r="E42" t="s">
        <v>483</v>
      </c>
      <c r="F42">
        <v>2000208</v>
      </c>
    </row>
    <row r="43" spans="1:6" x14ac:dyDescent="0.25">
      <c r="A43" s="19" t="s">
        <v>375</v>
      </c>
      <c r="B43" t="s">
        <v>76</v>
      </c>
      <c r="C43" t="s">
        <v>77</v>
      </c>
      <c r="D43" t="s">
        <v>78</v>
      </c>
      <c r="E43" t="s">
        <v>484</v>
      </c>
      <c r="F43">
        <v>2000209</v>
      </c>
    </row>
    <row r="44" spans="1:6" x14ac:dyDescent="0.25">
      <c r="A44" s="19" t="s">
        <v>376</v>
      </c>
      <c r="B44" t="s">
        <v>76</v>
      </c>
      <c r="C44" t="s">
        <v>77</v>
      </c>
      <c r="D44" t="s">
        <v>78</v>
      </c>
      <c r="E44" t="s">
        <v>485</v>
      </c>
      <c r="F44">
        <v>2000210</v>
      </c>
    </row>
    <row r="45" spans="1:6" x14ac:dyDescent="0.25">
      <c r="A45" s="19" t="s">
        <v>377</v>
      </c>
      <c r="B45" t="s">
        <v>76</v>
      </c>
      <c r="C45" t="s">
        <v>77</v>
      </c>
      <c r="D45" t="s">
        <v>78</v>
      </c>
      <c r="E45" t="s">
        <v>486</v>
      </c>
      <c r="F45">
        <v>2000211</v>
      </c>
    </row>
    <row r="46" spans="1:6" x14ac:dyDescent="0.25">
      <c r="A46" s="19" t="s">
        <v>378</v>
      </c>
      <c r="B46" t="s">
        <v>76</v>
      </c>
      <c r="C46" t="s">
        <v>77</v>
      </c>
      <c r="D46" t="s">
        <v>78</v>
      </c>
      <c r="E46" t="s">
        <v>487</v>
      </c>
      <c r="F46">
        <v>2000212</v>
      </c>
    </row>
    <row r="47" spans="1:6" x14ac:dyDescent="0.25">
      <c r="A47" s="19" t="s">
        <v>379</v>
      </c>
      <c r="B47" t="s">
        <v>76</v>
      </c>
      <c r="C47" t="s">
        <v>77</v>
      </c>
      <c r="D47" t="s">
        <v>78</v>
      </c>
      <c r="E47" t="s">
        <v>488</v>
      </c>
      <c r="F47">
        <v>2000213</v>
      </c>
    </row>
    <row r="48" spans="1:6" x14ac:dyDescent="0.25">
      <c r="A48" s="19" t="s">
        <v>380</v>
      </c>
      <c r="B48" t="s">
        <v>76</v>
      </c>
      <c r="C48" t="s">
        <v>77</v>
      </c>
      <c r="D48" t="s">
        <v>78</v>
      </c>
      <c r="E48" t="s">
        <v>489</v>
      </c>
      <c r="F48">
        <v>2000214</v>
      </c>
    </row>
    <row r="49" spans="1:6" x14ac:dyDescent="0.25">
      <c r="A49" s="19" t="s">
        <v>382</v>
      </c>
      <c r="B49" t="s">
        <v>76</v>
      </c>
      <c r="C49" t="s">
        <v>77</v>
      </c>
      <c r="D49" t="s">
        <v>78</v>
      </c>
      <c r="E49" t="s">
        <v>490</v>
      </c>
      <c r="F49">
        <v>2000215</v>
      </c>
    </row>
    <row r="50" spans="1:6" x14ac:dyDescent="0.25">
      <c r="A50" s="19" t="s">
        <v>383</v>
      </c>
      <c r="B50" t="s">
        <v>76</v>
      </c>
      <c r="C50" t="s">
        <v>77</v>
      </c>
      <c r="D50" t="s">
        <v>78</v>
      </c>
      <c r="E50" t="s">
        <v>491</v>
      </c>
      <c r="F50">
        <v>2000216</v>
      </c>
    </row>
    <row r="51" spans="1:6" x14ac:dyDescent="0.25">
      <c r="A51" s="19" t="s">
        <v>381</v>
      </c>
      <c r="B51" t="s">
        <v>76</v>
      </c>
      <c r="C51" t="s">
        <v>77</v>
      </c>
      <c r="D51" t="s">
        <v>78</v>
      </c>
      <c r="E51" t="s">
        <v>492</v>
      </c>
      <c r="F51">
        <v>2000217</v>
      </c>
    </row>
    <row r="52" spans="1:6" x14ac:dyDescent="0.25">
      <c r="A52" s="19" t="s">
        <v>190</v>
      </c>
      <c r="B52" t="s">
        <v>76</v>
      </c>
      <c r="C52" t="s">
        <v>77</v>
      </c>
      <c r="D52" t="s">
        <v>78</v>
      </c>
      <c r="E52" t="s">
        <v>493</v>
      </c>
      <c r="F52">
        <v>2000218</v>
      </c>
    </row>
    <row r="53" spans="1:6" x14ac:dyDescent="0.25">
      <c r="A53" s="19" t="s">
        <v>191</v>
      </c>
      <c r="B53" t="s">
        <v>76</v>
      </c>
      <c r="C53" t="s">
        <v>77</v>
      </c>
      <c r="D53" t="s">
        <v>78</v>
      </c>
      <c r="E53" t="s">
        <v>494</v>
      </c>
      <c r="F53">
        <v>2000219</v>
      </c>
    </row>
    <row r="54" spans="1:6" x14ac:dyDescent="0.25">
      <c r="A54" s="19" t="s">
        <v>192</v>
      </c>
      <c r="B54" t="s">
        <v>76</v>
      </c>
      <c r="C54" t="s">
        <v>77</v>
      </c>
      <c r="D54" t="s">
        <v>78</v>
      </c>
      <c r="E54" t="s">
        <v>495</v>
      </c>
      <c r="F54">
        <v>2000220</v>
      </c>
    </row>
    <row r="55" spans="1:6" x14ac:dyDescent="0.25">
      <c r="A55" s="19" t="s">
        <v>193</v>
      </c>
      <c r="B55" t="s">
        <v>76</v>
      </c>
      <c r="C55" t="s">
        <v>77</v>
      </c>
      <c r="D55" t="s">
        <v>78</v>
      </c>
      <c r="E55" t="s">
        <v>496</v>
      </c>
      <c r="F55">
        <v>2000221</v>
      </c>
    </row>
    <row r="56" spans="1:6" x14ac:dyDescent="0.25">
      <c r="A56" s="19" t="s">
        <v>194</v>
      </c>
      <c r="B56" t="s">
        <v>76</v>
      </c>
      <c r="C56" t="s">
        <v>77</v>
      </c>
      <c r="D56" t="s">
        <v>78</v>
      </c>
      <c r="E56" t="s">
        <v>497</v>
      </c>
      <c r="F56">
        <v>2000222</v>
      </c>
    </row>
    <row r="57" spans="1:6" x14ac:dyDescent="0.25">
      <c r="A57" s="19" t="s">
        <v>195</v>
      </c>
      <c r="B57" t="s">
        <v>76</v>
      </c>
      <c r="C57" t="s">
        <v>77</v>
      </c>
      <c r="D57" t="s">
        <v>78</v>
      </c>
      <c r="E57" t="s">
        <v>498</v>
      </c>
      <c r="F57">
        <v>2000223</v>
      </c>
    </row>
    <row r="58" spans="1:6" x14ac:dyDescent="0.25">
      <c r="A58" s="19" t="s">
        <v>196</v>
      </c>
      <c r="B58" t="s">
        <v>76</v>
      </c>
      <c r="C58" t="s">
        <v>77</v>
      </c>
      <c r="D58" t="s">
        <v>78</v>
      </c>
      <c r="E58" t="s">
        <v>499</v>
      </c>
      <c r="F58">
        <v>2000224</v>
      </c>
    </row>
    <row r="59" spans="1:6" x14ac:dyDescent="0.25">
      <c r="A59" s="19" t="s">
        <v>197</v>
      </c>
      <c r="B59" t="s">
        <v>76</v>
      </c>
      <c r="C59" t="s">
        <v>77</v>
      </c>
      <c r="D59" t="s">
        <v>78</v>
      </c>
      <c r="E59" t="s">
        <v>500</v>
      </c>
      <c r="F59">
        <v>2000225</v>
      </c>
    </row>
    <row r="60" spans="1:6" x14ac:dyDescent="0.25">
      <c r="A60" s="19" t="s">
        <v>198</v>
      </c>
      <c r="B60" t="s">
        <v>76</v>
      </c>
      <c r="C60" t="s">
        <v>77</v>
      </c>
      <c r="D60" t="s">
        <v>78</v>
      </c>
      <c r="E60" t="s">
        <v>501</v>
      </c>
      <c r="F60">
        <v>2000226</v>
      </c>
    </row>
    <row r="61" spans="1:6" x14ac:dyDescent="0.25">
      <c r="A61" s="19" t="s">
        <v>199</v>
      </c>
      <c r="B61" t="s">
        <v>76</v>
      </c>
      <c r="C61" t="s">
        <v>77</v>
      </c>
      <c r="D61" t="s">
        <v>78</v>
      </c>
      <c r="E61" t="s">
        <v>502</v>
      </c>
      <c r="F61">
        <v>2000227</v>
      </c>
    </row>
    <row r="62" spans="1:6" x14ac:dyDescent="0.25">
      <c r="A62" s="19" t="s">
        <v>200</v>
      </c>
      <c r="B62" t="s">
        <v>76</v>
      </c>
      <c r="C62" t="s">
        <v>77</v>
      </c>
      <c r="D62" t="s">
        <v>78</v>
      </c>
      <c r="E62" t="s">
        <v>503</v>
      </c>
      <c r="F62">
        <v>2000228</v>
      </c>
    </row>
    <row r="63" spans="1:6" x14ac:dyDescent="0.25">
      <c r="A63" s="19" t="s">
        <v>201</v>
      </c>
      <c r="B63" t="s">
        <v>76</v>
      </c>
      <c r="C63" t="s">
        <v>77</v>
      </c>
      <c r="D63" t="s">
        <v>78</v>
      </c>
      <c r="E63" t="s">
        <v>504</v>
      </c>
      <c r="F63">
        <v>2000229</v>
      </c>
    </row>
    <row r="64" spans="1:6" x14ac:dyDescent="0.25">
      <c r="A64" s="19" t="s">
        <v>202</v>
      </c>
      <c r="B64" t="s">
        <v>76</v>
      </c>
      <c r="C64" t="s">
        <v>77</v>
      </c>
      <c r="D64" t="s">
        <v>78</v>
      </c>
      <c r="E64" t="s">
        <v>505</v>
      </c>
      <c r="F64">
        <v>2000230</v>
      </c>
    </row>
    <row r="65" spans="1:6" x14ac:dyDescent="0.25">
      <c r="A65" s="19" t="s">
        <v>203</v>
      </c>
      <c r="B65" t="s">
        <v>76</v>
      </c>
      <c r="C65" t="s">
        <v>77</v>
      </c>
      <c r="D65" t="s">
        <v>78</v>
      </c>
      <c r="E65" t="s">
        <v>506</v>
      </c>
      <c r="F65">
        <v>2000231</v>
      </c>
    </row>
    <row r="66" spans="1:6" x14ac:dyDescent="0.25">
      <c r="A66" s="19" t="s">
        <v>204</v>
      </c>
      <c r="B66" t="s">
        <v>76</v>
      </c>
      <c r="C66" t="s">
        <v>77</v>
      </c>
      <c r="D66" t="s">
        <v>78</v>
      </c>
      <c r="E66" t="s">
        <v>507</v>
      </c>
      <c r="F66">
        <v>2000232</v>
      </c>
    </row>
    <row r="67" spans="1:6" x14ac:dyDescent="0.25">
      <c r="A67" s="19" t="s">
        <v>205</v>
      </c>
      <c r="B67" t="s">
        <v>76</v>
      </c>
      <c r="C67" t="s">
        <v>77</v>
      </c>
      <c r="D67" t="s">
        <v>78</v>
      </c>
      <c r="E67" t="s">
        <v>508</v>
      </c>
      <c r="F67">
        <v>2000233</v>
      </c>
    </row>
    <row r="68" spans="1:6" x14ac:dyDescent="0.25">
      <c r="A68" s="19" t="s">
        <v>206</v>
      </c>
      <c r="B68" t="s">
        <v>76</v>
      </c>
      <c r="C68" t="s">
        <v>77</v>
      </c>
      <c r="D68" t="s">
        <v>78</v>
      </c>
      <c r="E68" t="s">
        <v>509</v>
      </c>
      <c r="F68">
        <v>2000234</v>
      </c>
    </row>
    <row r="69" spans="1:6" x14ac:dyDescent="0.25">
      <c r="A69" s="19" t="s">
        <v>207</v>
      </c>
      <c r="B69" t="s">
        <v>76</v>
      </c>
      <c r="C69" t="s">
        <v>77</v>
      </c>
      <c r="D69" t="s">
        <v>78</v>
      </c>
      <c r="E69" t="s">
        <v>510</v>
      </c>
      <c r="F69">
        <v>2000235</v>
      </c>
    </row>
    <row r="70" spans="1:6" x14ac:dyDescent="0.25">
      <c r="A70" s="19" t="s">
        <v>208</v>
      </c>
      <c r="B70" t="s">
        <v>76</v>
      </c>
      <c r="C70" t="s">
        <v>77</v>
      </c>
      <c r="D70" t="s">
        <v>78</v>
      </c>
      <c r="E70" t="s">
        <v>511</v>
      </c>
      <c r="F70">
        <v>2000236</v>
      </c>
    </row>
    <row r="71" spans="1:6" x14ac:dyDescent="0.25">
      <c r="A71" s="19" t="s">
        <v>209</v>
      </c>
      <c r="B71" t="s">
        <v>76</v>
      </c>
      <c r="C71" t="s">
        <v>77</v>
      </c>
      <c r="D71" t="s">
        <v>78</v>
      </c>
      <c r="E71" t="s">
        <v>512</v>
      </c>
      <c r="F71">
        <v>2000237</v>
      </c>
    </row>
    <row r="72" spans="1:6" x14ac:dyDescent="0.25">
      <c r="A72" s="19" t="s">
        <v>210</v>
      </c>
      <c r="B72" t="s">
        <v>76</v>
      </c>
      <c r="C72" t="s">
        <v>77</v>
      </c>
      <c r="D72" t="s">
        <v>78</v>
      </c>
      <c r="E72" t="s">
        <v>513</v>
      </c>
      <c r="F72">
        <v>2000238</v>
      </c>
    </row>
    <row r="73" spans="1:6" x14ac:dyDescent="0.25">
      <c r="A73" s="19" t="s">
        <v>211</v>
      </c>
      <c r="B73" t="s">
        <v>76</v>
      </c>
      <c r="C73" t="s">
        <v>77</v>
      </c>
      <c r="D73" t="s">
        <v>78</v>
      </c>
      <c r="E73" t="s">
        <v>514</v>
      </c>
      <c r="F73">
        <v>2000239</v>
      </c>
    </row>
    <row r="74" spans="1:6" x14ac:dyDescent="0.25">
      <c r="A74" s="19" t="s">
        <v>212</v>
      </c>
      <c r="B74" t="s">
        <v>76</v>
      </c>
      <c r="C74" t="s">
        <v>77</v>
      </c>
      <c r="D74" t="s">
        <v>78</v>
      </c>
      <c r="E74" t="s">
        <v>515</v>
      </c>
      <c r="F74">
        <v>2000240</v>
      </c>
    </row>
    <row r="75" spans="1:6" x14ac:dyDescent="0.25">
      <c r="A75" s="19" t="s">
        <v>213</v>
      </c>
      <c r="B75" t="s">
        <v>76</v>
      </c>
      <c r="C75" t="s">
        <v>77</v>
      </c>
      <c r="D75" t="s">
        <v>78</v>
      </c>
      <c r="E75" t="s">
        <v>516</v>
      </c>
      <c r="F75">
        <v>2000241</v>
      </c>
    </row>
    <row r="76" spans="1:6" x14ac:dyDescent="0.25">
      <c r="A76" s="19" t="s">
        <v>214</v>
      </c>
      <c r="B76" t="s">
        <v>76</v>
      </c>
      <c r="C76" t="s">
        <v>77</v>
      </c>
      <c r="D76" t="s">
        <v>78</v>
      </c>
      <c r="E76" t="s">
        <v>517</v>
      </c>
      <c r="F76">
        <v>2000242</v>
      </c>
    </row>
    <row r="77" spans="1:6" x14ac:dyDescent="0.25">
      <c r="A77" s="19" t="s">
        <v>215</v>
      </c>
      <c r="B77" t="s">
        <v>76</v>
      </c>
      <c r="C77" t="s">
        <v>77</v>
      </c>
      <c r="D77" t="s">
        <v>78</v>
      </c>
      <c r="E77" t="s">
        <v>518</v>
      </c>
      <c r="F77">
        <v>2000243</v>
      </c>
    </row>
    <row r="78" spans="1:6" x14ac:dyDescent="0.25">
      <c r="A78" s="19" t="s">
        <v>216</v>
      </c>
      <c r="B78" t="s">
        <v>76</v>
      </c>
      <c r="C78" t="s">
        <v>77</v>
      </c>
      <c r="D78" t="s">
        <v>78</v>
      </c>
      <c r="E78" t="s">
        <v>519</v>
      </c>
      <c r="F78">
        <v>2000244</v>
      </c>
    </row>
    <row r="79" spans="1:6" x14ac:dyDescent="0.25">
      <c r="A79" s="19" t="s">
        <v>217</v>
      </c>
      <c r="B79" t="s">
        <v>76</v>
      </c>
      <c r="C79" t="s">
        <v>77</v>
      </c>
      <c r="D79" t="s">
        <v>78</v>
      </c>
      <c r="E79" t="s">
        <v>520</v>
      </c>
      <c r="F79">
        <v>2000245</v>
      </c>
    </row>
    <row r="80" spans="1:6" x14ac:dyDescent="0.25">
      <c r="A80" s="19" t="s">
        <v>218</v>
      </c>
      <c r="B80" t="s">
        <v>76</v>
      </c>
      <c r="C80" t="s">
        <v>77</v>
      </c>
      <c r="D80" t="s">
        <v>78</v>
      </c>
      <c r="E80" t="s">
        <v>521</v>
      </c>
      <c r="F80">
        <v>2000246</v>
      </c>
    </row>
    <row r="81" spans="1:6" x14ac:dyDescent="0.25">
      <c r="A81" s="19" t="s">
        <v>219</v>
      </c>
      <c r="B81" t="s">
        <v>76</v>
      </c>
      <c r="C81" t="s">
        <v>77</v>
      </c>
      <c r="D81" t="s">
        <v>78</v>
      </c>
      <c r="E81" t="s">
        <v>522</v>
      </c>
      <c r="F81">
        <v>2000247</v>
      </c>
    </row>
    <row r="82" spans="1:6" x14ac:dyDescent="0.25">
      <c r="A82" s="19" t="s">
        <v>220</v>
      </c>
      <c r="B82" t="s">
        <v>76</v>
      </c>
      <c r="C82" t="s">
        <v>77</v>
      </c>
      <c r="D82" t="s">
        <v>78</v>
      </c>
      <c r="E82" t="s">
        <v>523</v>
      </c>
      <c r="F82">
        <v>2000248</v>
      </c>
    </row>
    <row r="83" spans="1:6" x14ac:dyDescent="0.25">
      <c r="A83" s="19" t="s">
        <v>221</v>
      </c>
      <c r="B83" t="s">
        <v>76</v>
      </c>
      <c r="C83" t="s">
        <v>77</v>
      </c>
      <c r="D83" t="s">
        <v>78</v>
      </c>
      <c r="E83" t="s">
        <v>524</v>
      </c>
      <c r="F83">
        <v>2000249</v>
      </c>
    </row>
    <row r="84" spans="1:6" x14ac:dyDescent="0.25">
      <c r="A84" s="19" t="s">
        <v>222</v>
      </c>
      <c r="B84" t="s">
        <v>76</v>
      </c>
      <c r="C84" t="s">
        <v>77</v>
      </c>
      <c r="D84" t="s">
        <v>78</v>
      </c>
      <c r="E84" t="s">
        <v>525</v>
      </c>
      <c r="F84">
        <v>2000250</v>
      </c>
    </row>
    <row r="85" spans="1:6" x14ac:dyDescent="0.25">
      <c r="A85" s="19" t="s">
        <v>223</v>
      </c>
      <c r="B85" t="s">
        <v>76</v>
      </c>
      <c r="C85" t="s">
        <v>77</v>
      </c>
      <c r="D85" t="s">
        <v>78</v>
      </c>
      <c r="E85" t="s">
        <v>526</v>
      </c>
      <c r="F85">
        <v>2000251</v>
      </c>
    </row>
    <row r="86" spans="1:6" x14ac:dyDescent="0.25">
      <c r="A86" s="19" t="s">
        <v>224</v>
      </c>
      <c r="B86" t="s">
        <v>76</v>
      </c>
      <c r="C86" t="s">
        <v>77</v>
      </c>
      <c r="D86" t="s">
        <v>78</v>
      </c>
      <c r="E86" t="s">
        <v>527</v>
      </c>
      <c r="F86">
        <v>2000252</v>
      </c>
    </row>
    <row r="87" spans="1:6" x14ac:dyDescent="0.25">
      <c r="A87" s="19" t="s">
        <v>225</v>
      </c>
      <c r="B87" t="s">
        <v>76</v>
      </c>
      <c r="C87" t="s">
        <v>77</v>
      </c>
      <c r="D87" t="s">
        <v>78</v>
      </c>
      <c r="E87" t="s">
        <v>528</v>
      </c>
      <c r="F87">
        <v>2000253</v>
      </c>
    </row>
    <row r="88" spans="1:6" x14ac:dyDescent="0.25">
      <c r="A88" s="19" t="s">
        <v>226</v>
      </c>
      <c r="B88" t="s">
        <v>76</v>
      </c>
      <c r="C88" t="s">
        <v>77</v>
      </c>
      <c r="D88" t="s">
        <v>78</v>
      </c>
      <c r="E88" t="s">
        <v>529</v>
      </c>
      <c r="F88">
        <v>2000254</v>
      </c>
    </row>
    <row r="89" spans="1:6" x14ac:dyDescent="0.25">
      <c r="A89" s="19" t="s">
        <v>239</v>
      </c>
      <c r="B89" t="s">
        <v>76</v>
      </c>
      <c r="C89" t="s">
        <v>77</v>
      </c>
      <c r="D89" t="s">
        <v>78</v>
      </c>
      <c r="E89" t="s">
        <v>530</v>
      </c>
      <c r="F89">
        <v>2000255</v>
      </c>
    </row>
    <row r="90" spans="1:6" x14ac:dyDescent="0.25">
      <c r="A90" s="19" t="s">
        <v>240</v>
      </c>
      <c r="B90" t="s">
        <v>76</v>
      </c>
      <c r="C90" t="s">
        <v>77</v>
      </c>
      <c r="D90" t="s">
        <v>78</v>
      </c>
      <c r="E90" t="s">
        <v>531</v>
      </c>
      <c r="F90">
        <v>2000256</v>
      </c>
    </row>
    <row r="91" spans="1:6" x14ac:dyDescent="0.25">
      <c r="A91" s="19" t="s">
        <v>241</v>
      </c>
      <c r="B91" t="s">
        <v>76</v>
      </c>
      <c r="C91" t="s">
        <v>77</v>
      </c>
      <c r="D91" t="s">
        <v>78</v>
      </c>
      <c r="E91" t="s">
        <v>532</v>
      </c>
      <c r="F91">
        <v>2000257</v>
      </c>
    </row>
    <row r="92" spans="1:6" x14ac:dyDescent="0.25">
      <c r="A92" s="19" t="s">
        <v>242</v>
      </c>
      <c r="B92" t="s">
        <v>76</v>
      </c>
      <c r="C92" t="s">
        <v>77</v>
      </c>
      <c r="D92" t="s">
        <v>78</v>
      </c>
      <c r="E92" t="s">
        <v>533</v>
      </c>
      <c r="F92">
        <v>2000258</v>
      </c>
    </row>
    <row r="93" spans="1:6" x14ac:dyDescent="0.25">
      <c r="A93" s="19" t="s">
        <v>243</v>
      </c>
      <c r="B93" t="s">
        <v>76</v>
      </c>
      <c r="C93" t="s">
        <v>77</v>
      </c>
      <c r="D93" t="s">
        <v>78</v>
      </c>
      <c r="E93" t="s">
        <v>534</v>
      </c>
      <c r="F93">
        <v>2000259</v>
      </c>
    </row>
    <row r="94" spans="1:6" x14ac:dyDescent="0.25">
      <c r="A94" s="19" t="s">
        <v>244</v>
      </c>
      <c r="B94" t="s">
        <v>76</v>
      </c>
      <c r="C94" t="s">
        <v>77</v>
      </c>
      <c r="D94" t="s">
        <v>78</v>
      </c>
      <c r="E94" t="s">
        <v>535</v>
      </c>
      <c r="F94">
        <v>2000260</v>
      </c>
    </row>
    <row r="95" spans="1:6" x14ac:dyDescent="0.25">
      <c r="A95" s="19" t="s">
        <v>245</v>
      </c>
      <c r="B95" t="s">
        <v>76</v>
      </c>
      <c r="C95" t="s">
        <v>77</v>
      </c>
      <c r="D95" t="s">
        <v>78</v>
      </c>
      <c r="E95" t="s">
        <v>536</v>
      </c>
      <c r="F95">
        <v>2000261</v>
      </c>
    </row>
    <row r="96" spans="1:6" x14ac:dyDescent="0.25">
      <c r="A96" s="19" t="s">
        <v>246</v>
      </c>
      <c r="B96" t="s">
        <v>76</v>
      </c>
      <c r="C96" t="s">
        <v>77</v>
      </c>
      <c r="D96" t="s">
        <v>78</v>
      </c>
      <c r="E96" t="s">
        <v>537</v>
      </c>
      <c r="F96">
        <v>2000262</v>
      </c>
    </row>
    <row r="97" spans="1:6" x14ac:dyDescent="0.25">
      <c r="A97" s="19" t="s">
        <v>247</v>
      </c>
      <c r="B97" t="s">
        <v>76</v>
      </c>
      <c r="C97" t="s">
        <v>77</v>
      </c>
      <c r="D97" t="s">
        <v>78</v>
      </c>
      <c r="E97" t="s">
        <v>538</v>
      </c>
      <c r="F97">
        <v>2000263</v>
      </c>
    </row>
    <row r="98" spans="1:6" x14ac:dyDescent="0.25">
      <c r="A98" s="19" t="s">
        <v>248</v>
      </c>
      <c r="B98" t="s">
        <v>76</v>
      </c>
      <c r="C98" t="s">
        <v>77</v>
      </c>
      <c r="D98" t="s">
        <v>78</v>
      </c>
      <c r="E98" t="s">
        <v>539</v>
      </c>
      <c r="F98">
        <v>2000264</v>
      </c>
    </row>
    <row r="99" spans="1:6" x14ac:dyDescent="0.25">
      <c r="A99" s="19" t="s">
        <v>249</v>
      </c>
      <c r="B99" t="s">
        <v>76</v>
      </c>
      <c r="C99" t="s">
        <v>77</v>
      </c>
      <c r="D99" t="s">
        <v>78</v>
      </c>
      <c r="E99" t="s">
        <v>540</v>
      </c>
      <c r="F99">
        <v>2000265</v>
      </c>
    </row>
    <row r="100" spans="1:6" x14ac:dyDescent="0.25">
      <c r="A100" s="19" t="s">
        <v>250</v>
      </c>
      <c r="B100" t="s">
        <v>76</v>
      </c>
      <c r="C100" t="s">
        <v>77</v>
      </c>
      <c r="D100" t="s">
        <v>78</v>
      </c>
      <c r="E100" t="s">
        <v>541</v>
      </c>
      <c r="F100">
        <v>2000266</v>
      </c>
    </row>
    <row r="101" spans="1:6" x14ac:dyDescent="0.25">
      <c r="A101" s="19" t="s">
        <v>251</v>
      </c>
      <c r="B101" t="s">
        <v>76</v>
      </c>
      <c r="C101" t="s">
        <v>77</v>
      </c>
      <c r="D101" t="s">
        <v>78</v>
      </c>
      <c r="E101" t="s">
        <v>542</v>
      </c>
      <c r="F101">
        <v>2000267</v>
      </c>
    </row>
    <row r="102" spans="1:6" x14ac:dyDescent="0.25">
      <c r="A102" s="19" t="s">
        <v>252</v>
      </c>
      <c r="B102" t="s">
        <v>76</v>
      </c>
      <c r="C102" t="s">
        <v>77</v>
      </c>
      <c r="D102" t="s">
        <v>78</v>
      </c>
      <c r="E102" t="s">
        <v>543</v>
      </c>
      <c r="F102">
        <v>2000268</v>
      </c>
    </row>
    <row r="103" spans="1:6" x14ac:dyDescent="0.25">
      <c r="A103" s="19" t="s">
        <v>253</v>
      </c>
      <c r="B103" t="s">
        <v>76</v>
      </c>
      <c r="C103" t="s">
        <v>77</v>
      </c>
      <c r="D103" t="s">
        <v>78</v>
      </c>
      <c r="E103" t="s">
        <v>544</v>
      </c>
      <c r="F103">
        <v>2000269</v>
      </c>
    </row>
    <row r="104" spans="1:6" x14ac:dyDescent="0.25">
      <c r="A104" s="19" t="s">
        <v>254</v>
      </c>
      <c r="B104" t="s">
        <v>76</v>
      </c>
      <c r="C104" t="s">
        <v>77</v>
      </c>
      <c r="D104" t="s">
        <v>78</v>
      </c>
      <c r="E104" t="s">
        <v>545</v>
      </c>
      <c r="F104">
        <v>2000270</v>
      </c>
    </row>
    <row r="105" spans="1:6" x14ac:dyDescent="0.25">
      <c r="A105" s="19" t="s">
        <v>255</v>
      </c>
      <c r="B105" t="s">
        <v>76</v>
      </c>
      <c r="C105" t="s">
        <v>77</v>
      </c>
      <c r="D105" t="s">
        <v>78</v>
      </c>
      <c r="E105" t="s">
        <v>546</v>
      </c>
      <c r="F105">
        <v>2000271</v>
      </c>
    </row>
    <row r="106" spans="1:6" x14ac:dyDescent="0.25">
      <c r="A106" s="19" t="s">
        <v>256</v>
      </c>
      <c r="B106" t="s">
        <v>76</v>
      </c>
      <c r="C106" t="s">
        <v>77</v>
      </c>
      <c r="D106" t="s">
        <v>78</v>
      </c>
      <c r="E106" t="s">
        <v>547</v>
      </c>
      <c r="F106">
        <v>2000272</v>
      </c>
    </row>
    <row r="107" spans="1:6" x14ac:dyDescent="0.25">
      <c r="A107" s="19" t="s">
        <v>257</v>
      </c>
      <c r="B107" t="s">
        <v>76</v>
      </c>
      <c r="C107" t="s">
        <v>77</v>
      </c>
      <c r="D107" t="s">
        <v>78</v>
      </c>
      <c r="E107" t="s">
        <v>548</v>
      </c>
      <c r="F107">
        <v>2000273</v>
      </c>
    </row>
    <row r="108" spans="1:6" x14ac:dyDescent="0.25">
      <c r="A108" s="19" t="s">
        <v>258</v>
      </c>
      <c r="B108" t="s">
        <v>76</v>
      </c>
      <c r="C108" t="s">
        <v>77</v>
      </c>
      <c r="D108" t="s">
        <v>78</v>
      </c>
      <c r="E108" t="s">
        <v>549</v>
      </c>
      <c r="F108">
        <v>2000274</v>
      </c>
    </row>
    <row r="109" spans="1:6" x14ac:dyDescent="0.25">
      <c r="A109" s="19" t="s">
        <v>227</v>
      </c>
      <c r="B109" t="s">
        <v>76</v>
      </c>
      <c r="C109" t="s">
        <v>77</v>
      </c>
      <c r="D109" t="s">
        <v>78</v>
      </c>
      <c r="E109" t="s">
        <v>550</v>
      </c>
      <c r="F109">
        <v>2000275</v>
      </c>
    </row>
    <row r="110" spans="1:6" x14ac:dyDescent="0.25">
      <c r="A110" s="19" t="s">
        <v>228</v>
      </c>
      <c r="B110" t="s">
        <v>76</v>
      </c>
      <c r="C110" t="s">
        <v>77</v>
      </c>
      <c r="D110" t="s">
        <v>78</v>
      </c>
      <c r="E110" t="s">
        <v>551</v>
      </c>
      <c r="F110">
        <v>2000276</v>
      </c>
    </row>
    <row r="111" spans="1:6" x14ac:dyDescent="0.25">
      <c r="A111" s="19" t="s">
        <v>229</v>
      </c>
      <c r="B111" t="s">
        <v>76</v>
      </c>
      <c r="C111" t="s">
        <v>77</v>
      </c>
      <c r="D111" t="s">
        <v>78</v>
      </c>
      <c r="E111" t="s">
        <v>552</v>
      </c>
      <c r="F111">
        <v>2000277</v>
      </c>
    </row>
    <row r="112" spans="1:6" x14ac:dyDescent="0.25">
      <c r="A112" s="19" t="s">
        <v>230</v>
      </c>
      <c r="B112" t="s">
        <v>76</v>
      </c>
      <c r="C112" t="s">
        <v>77</v>
      </c>
      <c r="D112" t="s">
        <v>78</v>
      </c>
      <c r="E112" t="s">
        <v>553</v>
      </c>
      <c r="F112">
        <v>2000278</v>
      </c>
    </row>
    <row r="113" spans="1:6" x14ac:dyDescent="0.25">
      <c r="A113" s="19" t="s">
        <v>231</v>
      </c>
      <c r="B113" t="s">
        <v>76</v>
      </c>
      <c r="C113" t="s">
        <v>77</v>
      </c>
      <c r="D113" t="s">
        <v>78</v>
      </c>
      <c r="E113" t="s">
        <v>554</v>
      </c>
      <c r="F113">
        <v>2000279</v>
      </c>
    </row>
    <row r="114" spans="1:6" x14ac:dyDescent="0.25">
      <c r="A114" s="19" t="s">
        <v>232</v>
      </c>
      <c r="B114" t="s">
        <v>76</v>
      </c>
      <c r="C114" t="s">
        <v>77</v>
      </c>
      <c r="D114" t="s">
        <v>78</v>
      </c>
      <c r="E114" t="s">
        <v>555</v>
      </c>
      <c r="F114">
        <v>2000280</v>
      </c>
    </row>
    <row r="115" spans="1:6" x14ac:dyDescent="0.25">
      <c r="A115" s="19" t="s">
        <v>233</v>
      </c>
      <c r="B115" t="s">
        <v>76</v>
      </c>
      <c r="C115" t="s">
        <v>77</v>
      </c>
      <c r="D115" t="s">
        <v>78</v>
      </c>
      <c r="E115" t="s">
        <v>556</v>
      </c>
      <c r="F115">
        <v>2000281</v>
      </c>
    </row>
    <row r="116" spans="1:6" x14ac:dyDescent="0.25">
      <c r="A116" s="19" t="s">
        <v>234</v>
      </c>
      <c r="B116" t="s">
        <v>76</v>
      </c>
      <c r="C116" t="s">
        <v>77</v>
      </c>
      <c r="D116" t="s">
        <v>78</v>
      </c>
      <c r="E116" t="s">
        <v>557</v>
      </c>
      <c r="F116">
        <v>2000282</v>
      </c>
    </row>
    <row r="117" spans="1:6" x14ac:dyDescent="0.25">
      <c r="A117" s="19" t="s">
        <v>235</v>
      </c>
      <c r="B117" t="s">
        <v>76</v>
      </c>
      <c r="C117" t="s">
        <v>77</v>
      </c>
      <c r="D117" t="s">
        <v>78</v>
      </c>
      <c r="E117" t="s">
        <v>558</v>
      </c>
      <c r="F117">
        <v>2000283</v>
      </c>
    </row>
    <row r="118" spans="1:6" x14ac:dyDescent="0.25">
      <c r="A118" s="19" t="s">
        <v>236</v>
      </c>
      <c r="B118" t="s">
        <v>76</v>
      </c>
      <c r="C118" t="s">
        <v>77</v>
      </c>
      <c r="D118" t="s">
        <v>78</v>
      </c>
      <c r="E118" t="s">
        <v>559</v>
      </c>
      <c r="F118">
        <v>2000284</v>
      </c>
    </row>
    <row r="119" spans="1:6" x14ac:dyDescent="0.25">
      <c r="A119" s="19" t="s">
        <v>237</v>
      </c>
      <c r="B119" t="s">
        <v>76</v>
      </c>
      <c r="C119" t="s">
        <v>77</v>
      </c>
      <c r="D119" t="s">
        <v>78</v>
      </c>
      <c r="E119" t="s">
        <v>560</v>
      </c>
      <c r="F119">
        <v>2000285</v>
      </c>
    </row>
    <row r="120" spans="1:6" x14ac:dyDescent="0.25">
      <c r="A120" s="19" t="s">
        <v>238</v>
      </c>
      <c r="B120" t="s">
        <v>76</v>
      </c>
      <c r="C120" t="s">
        <v>77</v>
      </c>
      <c r="D120" t="s">
        <v>78</v>
      </c>
      <c r="E120" t="s">
        <v>561</v>
      </c>
      <c r="F120">
        <v>2000286</v>
      </c>
    </row>
    <row r="121" spans="1:6" x14ac:dyDescent="0.25">
      <c r="A121" s="19" t="s">
        <v>334</v>
      </c>
      <c r="B121" t="s">
        <v>76</v>
      </c>
      <c r="C121" t="s">
        <v>79</v>
      </c>
      <c r="D121" t="s">
        <v>78</v>
      </c>
      <c r="E121" t="s">
        <v>562</v>
      </c>
      <c r="F121">
        <v>2000287</v>
      </c>
    </row>
    <row r="122" spans="1:6" x14ac:dyDescent="0.25">
      <c r="A122" s="19" t="s">
        <v>335</v>
      </c>
      <c r="B122" t="s">
        <v>76</v>
      </c>
      <c r="C122" t="s">
        <v>79</v>
      </c>
      <c r="D122" t="s">
        <v>78</v>
      </c>
      <c r="E122" t="s">
        <v>563</v>
      </c>
      <c r="F122">
        <v>2000288</v>
      </c>
    </row>
    <row r="123" spans="1:6" x14ac:dyDescent="0.25">
      <c r="A123" s="19" t="s">
        <v>336</v>
      </c>
      <c r="B123" t="s">
        <v>76</v>
      </c>
      <c r="C123" t="s">
        <v>79</v>
      </c>
      <c r="D123" t="s">
        <v>78</v>
      </c>
      <c r="E123" t="s">
        <v>564</v>
      </c>
      <c r="F123">
        <v>2000289</v>
      </c>
    </row>
    <row r="124" spans="1:6" x14ac:dyDescent="0.25">
      <c r="A124" s="19" t="s">
        <v>337</v>
      </c>
      <c r="B124" t="s">
        <v>76</v>
      </c>
      <c r="C124" t="s">
        <v>79</v>
      </c>
      <c r="D124" t="s">
        <v>78</v>
      </c>
      <c r="E124" t="s">
        <v>565</v>
      </c>
      <c r="F124">
        <v>2000290</v>
      </c>
    </row>
    <row r="125" spans="1:6" x14ac:dyDescent="0.25">
      <c r="A125" s="19" t="s">
        <v>338</v>
      </c>
      <c r="B125" t="s">
        <v>76</v>
      </c>
      <c r="C125" t="s">
        <v>79</v>
      </c>
      <c r="D125" t="s">
        <v>78</v>
      </c>
      <c r="E125" t="s">
        <v>566</v>
      </c>
      <c r="F125">
        <v>2000291</v>
      </c>
    </row>
    <row r="126" spans="1:6" x14ac:dyDescent="0.25">
      <c r="A126" s="19" t="s">
        <v>339</v>
      </c>
      <c r="B126" t="s">
        <v>76</v>
      </c>
      <c r="C126" t="s">
        <v>79</v>
      </c>
      <c r="D126" t="s">
        <v>78</v>
      </c>
      <c r="E126" t="s">
        <v>567</v>
      </c>
      <c r="F126">
        <v>2000292</v>
      </c>
    </row>
    <row r="127" spans="1:6" x14ac:dyDescent="0.25">
      <c r="A127" s="19" t="s">
        <v>340</v>
      </c>
      <c r="B127" t="s">
        <v>76</v>
      </c>
      <c r="C127" t="s">
        <v>79</v>
      </c>
      <c r="D127" t="s">
        <v>78</v>
      </c>
      <c r="E127" t="s">
        <v>568</v>
      </c>
      <c r="F127">
        <v>2000293</v>
      </c>
    </row>
    <row r="128" spans="1:6" x14ac:dyDescent="0.25">
      <c r="A128" s="19" t="s">
        <v>341</v>
      </c>
      <c r="B128" t="s">
        <v>76</v>
      </c>
      <c r="C128" t="s">
        <v>79</v>
      </c>
      <c r="D128" t="s">
        <v>78</v>
      </c>
      <c r="E128" t="s">
        <v>569</v>
      </c>
      <c r="F128">
        <v>2000294</v>
      </c>
    </row>
    <row r="129" spans="1:6" x14ac:dyDescent="0.25">
      <c r="A129" s="19" t="s">
        <v>342</v>
      </c>
      <c r="B129" t="s">
        <v>76</v>
      </c>
      <c r="C129" t="s">
        <v>79</v>
      </c>
      <c r="D129" t="s">
        <v>78</v>
      </c>
      <c r="E129" t="s">
        <v>570</v>
      </c>
      <c r="F129">
        <v>2000295</v>
      </c>
    </row>
    <row r="130" spans="1:6" x14ac:dyDescent="0.25">
      <c r="A130" s="19" t="s">
        <v>343</v>
      </c>
      <c r="B130" t="s">
        <v>76</v>
      </c>
      <c r="C130" t="s">
        <v>79</v>
      </c>
      <c r="D130" t="s">
        <v>78</v>
      </c>
      <c r="E130" t="s">
        <v>571</v>
      </c>
      <c r="F130">
        <v>2000296</v>
      </c>
    </row>
    <row r="131" spans="1:6" x14ac:dyDescent="0.25">
      <c r="A131" s="19" t="s">
        <v>344</v>
      </c>
      <c r="B131" t="s">
        <v>76</v>
      </c>
      <c r="C131" t="s">
        <v>79</v>
      </c>
      <c r="D131" t="s">
        <v>78</v>
      </c>
      <c r="E131" t="s">
        <v>572</v>
      </c>
      <c r="F131">
        <v>2000297</v>
      </c>
    </row>
    <row r="132" spans="1:6" x14ac:dyDescent="0.25">
      <c r="A132" s="19" t="s">
        <v>345</v>
      </c>
      <c r="B132" t="s">
        <v>76</v>
      </c>
      <c r="C132" t="s">
        <v>79</v>
      </c>
      <c r="D132" t="s">
        <v>78</v>
      </c>
      <c r="E132" t="s">
        <v>573</v>
      </c>
      <c r="F132">
        <v>2000298</v>
      </c>
    </row>
    <row r="133" spans="1:6" x14ac:dyDescent="0.25">
      <c r="A133" s="19" t="s">
        <v>346</v>
      </c>
      <c r="B133" t="s">
        <v>76</v>
      </c>
      <c r="C133" t="s">
        <v>79</v>
      </c>
      <c r="D133" t="s">
        <v>78</v>
      </c>
      <c r="E133" t="s">
        <v>574</v>
      </c>
      <c r="F133">
        <v>2000299</v>
      </c>
    </row>
    <row r="134" spans="1:6" x14ac:dyDescent="0.25">
      <c r="A134" s="19" t="s">
        <v>347</v>
      </c>
      <c r="B134" t="s">
        <v>76</v>
      </c>
      <c r="C134" t="s">
        <v>79</v>
      </c>
      <c r="D134" t="s">
        <v>78</v>
      </c>
      <c r="E134" t="s">
        <v>575</v>
      </c>
      <c r="F134">
        <v>2000300</v>
      </c>
    </row>
    <row r="135" spans="1:6" x14ac:dyDescent="0.25">
      <c r="A135" s="19" t="s">
        <v>348</v>
      </c>
      <c r="B135" t="s">
        <v>76</v>
      </c>
      <c r="C135" t="s">
        <v>79</v>
      </c>
      <c r="D135" t="s">
        <v>78</v>
      </c>
      <c r="E135" t="s">
        <v>576</v>
      </c>
      <c r="F135">
        <v>2000301</v>
      </c>
    </row>
    <row r="136" spans="1:6" x14ac:dyDescent="0.25">
      <c r="A136" s="19" t="s">
        <v>349</v>
      </c>
      <c r="B136" t="s">
        <v>76</v>
      </c>
      <c r="C136" t="s">
        <v>79</v>
      </c>
      <c r="D136" t="s">
        <v>78</v>
      </c>
      <c r="E136" t="s">
        <v>577</v>
      </c>
      <c r="F136">
        <v>2000302</v>
      </c>
    </row>
    <row r="137" spans="1:6" x14ac:dyDescent="0.25">
      <c r="A137" s="19" t="s">
        <v>350</v>
      </c>
      <c r="B137" t="s">
        <v>76</v>
      </c>
      <c r="C137" t="s">
        <v>79</v>
      </c>
      <c r="D137" t="s">
        <v>78</v>
      </c>
      <c r="E137" t="s">
        <v>578</v>
      </c>
      <c r="F137">
        <v>2000303</v>
      </c>
    </row>
    <row r="138" spans="1:6" x14ac:dyDescent="0.25">
      <c r="A138" s="19" t="s">
        <v>351</v>
      </c>
      <c r="B138" t="s">
        <v>76</v>
      </c>
      <c r="C138" t="s">
        <v>79</v>
      </c>
      <c r="D138" t="s">
        <v>78</v>
      </c>
      <c r="E138" t="s">
        <v>579</v>
      </c>
      <c r="F138">
        <v>2000304</v>
      </c>
    </row>
    <row r="139" spans="1:6" x14ac:dyDescent="0.25">
      <c r="A139" s="10" t="s">
        <v>352</v>
      </c>
      <c r="B139" t="s">
        <v>76</v>
      </c>
      <c r="C139" t="s">
        <v>79</v>
      </c>
      <c r="D139" t="s">
        <v>78</v>
      </c>
      <c r="E139" t="s">
        <v>580</v>
      </c>
      <c r="F139">
        <v>2000305</v>
      </c>
    </row>
    <row r="140" spans="1:6" x14ac:dyDescent="0.25">
      <c r="A140" s="10" t="s">
        <v>353</v>
      </c>
      <c r="B140" t="s">
        <v>76</v>
      </c>
      <c r="C140" t="s">
        <v>79</v>
      </c>
      <c r="D140" t="s">
        <v>78</v>
      </c>
      <c r="E140" t="s">
        <v>581</v>
      </c>
      <c r="F140">
        <v>2000306</v>
      </c>
    </row>
    <row r="141" spans="1:6" x14ac:dyDescent="0.25">
      <c r="A141" s="10" t="s">
        <v>354</v>
      </c>
      <c r="B141" t="s">
        <v>76</v>
      </c>
      <c r="C141" t="s">
        <v>79</v>
      </c>
      <c r="D141" t="s">
        <v>78</v>
      </c>
      <c r="E141" t="s">
        <v>582</v>
      </c>
      <c r="F141">
        <v>2000307</v>
      </c>
    </row>
    <row r="142" spans="1:6" x14ac:dyDescent="0.25">
      <c r="A142" s="10" t="s">
        <v>355</v>
      </c>
      <c r="B142" t="s">
        <v>76</v>
      </c>
      <c r="C142" t="s">
        <v>79</v>
      </c>
      <c r="D142" t="s">
        <v>78</v>
      </c>
      <c r="E142" t="s">
        <v>583</v>
      </c>
      <c r="F142">
        <v>2000308</v>
      </c>
    </row>
    <row r="143" spans="1:6" x14ac:dyDescent="0.25">
      <c r="A143" s="10" t="s">
        <v>356</v>
      </c>
      <c r="B143" t="s">
        <v>76</v>
      </c>
      <c r="C143" t="s">
        <v>79</v>
      </c>
      <c r="D143" t="s">
        <v>78</v>
      </c>
      <c r="E143" t="s">
        <v>584</v>
      </c>
      <c r="F143">
        <v>2000309</v>
      </c>
    </row>
    <row r="144" spans="1:6" x14ac:dyDescent="0.25">
      <c r="A144" s="10" t="s">
        <v>357</v>
      </c>
      <c r="B144" t="s">
        <v>76</v>
      </c>
      <c r="C144" t="s">
        <v>79</v>
      </c>
      <c r="D144" t="s">
        <v>78</v>
      </c>
      <c r="E144" t="s">
        <v>585</v>
      </c>
      <c r="F144">
        <v>2000310</v>
      </c>
    </row>
    <row r="145" spans="1:6" x14ac:dyDescent="0.25">
      <c r="A145" s="10" t="s">
        <v>358</v>
      </c>
      <c r="B145" t="s">
        <v>76</v>
      </c>
      <c r="C145" t="s">
        <v>79</v>
      </c>
      <c r="D145" t="s">
        <v>78</v>
      </c>
      <c r="E145" t="s">
        <v>586</v>
      </c>
      <c r="F145">
        <v>2000311</v>
      </c>
    </row>
    <row r="146" spans="1:6" x14ac:dyDescent="0.25">
      <c r="A146" s="10" t="s">
        <v>359</v>
      </c>
      <c r="B146" t="s">
        <v>76</v>
      </c>
      <c r="C146" t="s">
        <v>79</v>
      </c>
      <c r="D146" t="s">
        <v>78</v>
      </c>
      <c r="E146" t="s">
        <v>587</v>
      </c>
      <c r="F146">
        <v>2000312</v>
      </c>
    </row>
    <row r="147" spans="1:6" x14ac:dyDescent="0.25">
      <c r="A147" s="10" t="s">
        <v>360</v>
      </c>
      <c r="B147" t="s">
        <v>76</v>
      </c>
      <c r="C147" t="s">
        <v>79</v>
      </c>
      <c r="D147" t="s">
        <v>78</v>
      </c>
      <c r="E147" t="s">
        <v>588</v>
      </c>
      <c r="F147">
        <v>2000313</v>
      </c>
    </row>
    <row r="148" spans="1:6" x14ac:dyDescent="0.25">
      <c r="A148" s="10" t="s">
        <v>361</v>
      </c>
      <c r="B148" t="s">
        <v>76</v>
      </c>
      <c r="C148" t="s">
        <v>79</v>
      </c>
      <c r="D148" t="s">
        <v>78</v>
      </c>
      <c r="E148" t="s">
        <v>589</v>
      </c>
      <c r="F148">
        <v>2000314</v>
      </c>
    </row>
    <row r="149" spans="1:6" x14ac:dyDescent="0.25">
      <c r="A149" s="10" t="s">
        <v>362</v>
      </c>
      <c r="B149" t="s">
        <v>76</v>
      </c>
      <c r="C149" t="s">
        <v>79</v>
      </c>
      <c r="D149" t="s">
        <v>78</v>
      </c>
      <c r="E149" t="s">
        <v>590</v>
      </c>
      <c r="F149">
        <v>2000315</v>
      </c>
    </row>
    <row r="150" spans="1:6" x14ac:dyDescent="0.25">
      <c r="A150" s="10" t="s">
        <v>363</v>
      </c>
      <c r="B150" t="s">
        <v>76</v>
      </c>
      <c r="C150" t="s">
        <v>79</v>
      </c>
      <c r="D150" t="s">
        <v>78</v>
      </c>
      <c r="E150" t="s">
        <v>591</v>
      </c>
      <c r="F150">
        <v>2000316</v>
      </c>
    </row>
    <row r="151" spans="1:6" x14ac:dyDescent="0.25">
      <c r="A151" s="10" t="s">
        <v>364</v>
      </c>
      <c r="B151" t="s">
        <v>76</v>
      </c>
      <c r="C151" t="s">
        <v>79</v>
      </c>
      <c r="D151" t="s">
        <v>78</v>
      </c>
      <c r="E151" t="s">
        <v>592</v>
      </c>
      <c r="F151">
        <v>2000317</v>
      </c>
    </row>
    <row r="152" spans="1:6" x14ac:dyDescent="0.25">
      <c r="A152" s="10" t="s">
        <v>365</v>
      </c>
      <c r="B152" t="s">
        <v>76</v>
      </c>
      <c r="C152" t="s">
        <v>79</v>
      </c>
      <c r="D152" t="s">
        <v>78</v>
      </c>
      <c r="E152" t="s">
        <v>593</v>
      </c>
      <c r="F152">
        <v>2000318</v>
      </c>
    </row>
    <row r="153" spans="1:6" x14ac:dyDescent="0.25">
      <c r="A153" s="10" t="s">
        <v>366</v>
      </c>
      <c r="B153" t="s">
        <v>76</v>
      </c>
      <c r="C153" t="s">
        <v>79</v>
      </c>
      <c r="D153" t="s">
        <v>78</v>
      </c>
      <c r="E153" t="s">
        <v>594</v>
      </c>
      <c r="F153">
        <v>2000319</v>
      </c>
    </row>
    <row r="154" spans="1:6" x14ac:dyDescent="0.25">
      <c r="A154" s="10" t="s">
        <v>367</v>
      </c>
      <c r="B154" t="s">
        <v>76</v>
      </c>
      <c r="C154" t="s">
        <v>79</v>
      </c>
      <c r="D154" t="s">
        <v>78</v>
      </c>
      <c r="E154" t="s">
        <v>595</v>
      </c>
      <c r="F154">
        <v>2000320</v>
      </c>
    </row>
    <row r="155" spans="1:6" x14ac:dyDescent="0.25">
      <c r="A155" s="10" t="s">
        <v>368</v>
      </c>
      <c r="B155" t="s">
        <v>76</v>
      </c>
      <c r="C155" t="s">
        <v>79</v>
      </c>
      <c r="D155" t="s">
        <v>78</v>
      </c>
      <c r="E155" t="s">
        <v>596</v>
      </c>
      <c r="F155">
        <v>2000321</v>
      </c>
    </row>
    <row r="156" spans="1:6" x14ac:dyDescent="0.25">
      <c r="A156" s="10" t="s">
        <v>369</v>
      </c>
      <c r="B156" t="s">
        <v>76</v>
      </c>
      <c r="C156" t="s">
        <v>79</v>
      </c>
      <c r="D156" t="s">
        <v>78</v>
      </c>
      <c r="E156" t="s">
        <v>597</v>
      </c>
      <c r="F156">
        <v>2000322</v>
      </c>
    </row>
    <row r="157" spans="1:6" x14ac:dyDescent="0.25">
      <c r="A157" s="10" t="s">
        <v>370</v>
      </c>
      <c r="B157" t="s">
        <v>76</v>
      </c>
      <c r="C157" t="s">
        <v>79</v>
      </c>
      <c r="D157" t="s">
        <v>78</v>
      </c>
      <c r="E157" t="s">
        <v>598</v>
      </c>
      <c r="F157">
        <v>2000323</v>
      </c>
    </row>
    <row r="158" spans="1:6" x14ac:dyDescent="0.25">
      <c r="A158" s="10" t="s">
        <v>371</v>
      </c>
      <c r="B158" t="s">
        <v>76</v>
      </c>
      <c r="C158" t="s">
        <v>79</v>
      </c>
      <c r="D158" t="s">
        <v>78</v>
      </c>
      <c r="E158" t="s">
        <v>599</v>
      </c>
      <c r="F158">
        <v>2000324</v>
      </c>
    </row>
    <row r="159" spans="1:6" x14ac:dyDescent="0.25">
      <c r="A159" s="10" t="s">
        <v>372</v>
      </c>
      <c r="B159" t="s">
        <v>76</v>
      </c>
      <c r="C159" t="s">
        <v>79</v>
      </c>
      <c r="D159" t="s">
        <v>78</v>
      </c>
      <c r="E159" t="s">
        <v>600</v>
      </c>
      <c r="F159">
        <v>2000325</v>
      </c>
    </row>
    <row r="160" spans="1:6" x14ac:dyDescent="0.25">
      <c r="A160" s="10" t="s">
        <v>373</v>
      </c>
      <c r="B160" t="s">
        <v>76</v>
      </c>
      <c r="C160" t="s">
        <v>79</v>
      </c>
      <c r="D160" t="s">
        <v>78</v>
      </c>
      <c r="E160" t="s">
        <v>601</v>
      </c>
      <c r="F160">
        <v>2000326</v>
      </c>
    </row>
    <row r="161" spans="1:6" x14ac:dyDescent="0.25">
      <c r="A161" s="10" t="s">
        <v>374</v>
      </c>
      <c r="B161" t="s">
        <v>76</v>
      </c>
      <c r="C161" t="s">
        <v>79</v>
      </c>
      <c r="D161" t="s">
        <v>78</v>
      </c>
      <c r="E161" t="s">
        <v>602</v>
      </c>
      <c r="F161">
        <v>2000327</v>
      </c>
    </row>
    <row r="162" spans="1:6" x14ac:dyDescent="0.25">
      <c r="A162" s="10" t="s">
        <v>375</v>
      </c>
      <c r="B162" t="s">
        <v>76</v>
      </c>
      <c r="C162" t="s">
        <v>79</v>
      </c>
      <c r="D162" t="s">
        <v>78</v>
      </c>
      <c r="E162" t="s">
        <v>603</v>
      </c>
      <c r="F162">
        <v>2000328</v>
      </c>
    </row>
    <row r="163" spans="1:6" x14ac:dyDescent="0.25">
      <c r="A163" s="10" t="s">
        <v>376</v>
      </c>
      <c r="B163" t="s">
        <v>76</v>
      </c>
      <c r="C163" t="s">
        <v>79</v>
      </c>
      <c r="D163" t="s">
        <v>78</v>
      </c>
      <c r="E163" t="s">
        <v>604</v>
      </c>
      <c r="F163">
        <v>2000329</v>
      </c>
    </row>
    <row r="164" spans="1:6" x14ac:dyDescent="0.25">
      <c r="A164" s="10" t="s">
        <v>377</v>
      </c>
      <c r="B164" t="s">
        <v>76</v>
      </c>
      <c r="C164" t="s">
        <v>79</v>
      </c>
      <c r="D164" t="s">
        <v>78</v>
      </c>
      <c r="E164" t="s">
        <v>605</v>
      </c>
      <c r="F164">
        <v>2000330</v>
      </c>
    </row>
    <row r="165" spans="1:6" x14ac:dyDescent="0.25">
      <c r="A165" s="10" t="s">
        <v>378</v>
      </c>
      <c r="B165" t="s">
        <v>76</v>
      </c>
      <c r="C165" t="s">
        <v>79</v>
      </c>
      <c r="D165" t="s">
        <v>78</v>
      </c>
      <c r="E165" t="s">
        <v>606</v>
      </c>
      <c r="F165">
        <v>2000331</v>
      </c>
    </row>
    <row r="166" spans="1:6" x14ac:dyDescent="0.25">
      <c r="A166" s="10" t="s">
        <v>379</v>
      </c>
      <c r="B166" t="s">
        <v>76</v>
      </c>
      <c r="C166" t="s">
        <v>79</v>
      </c>
      <c r="D166" t="s">
        <v>78</v>
      </c>
      <c r="E166" t="s">
        <v>607</v>
      </c>
      <c r="F166">
        <v>2000332</v>
      </c>
    </row>
    <row r="167" spans="1:6" x14ac:dyDescent="0.25">
      <c r="A167" s="10" t="s">
        <v>380</v>
      </c>
      <c r="B167" t="s">
        <v>76</v>
      </c>
      <c r="C167" t="s">
        <v>79</v>
      </c>
      <c r="D167" t="s">
        <v>78</v>
      </c>
      <c r="E167" t="s">
        <v>608</v>
      </c>
      <c r="F167">
        <v>2000333</v>
      </c>
    </row>
    <row r="168" spans="1:6" x14ac:dyDescent="0.25">
      <c r="A168" s="10" t="s">
        <v>187</v>
      </c>
      <c r="B168" t="s">
        <v>76</v>
      </c>
      <c r="C168" t="s">
        <v>79</v>
      </c>
      <c r="D168" t="s">
        <v>78</v>
      </c>
      <c r="E168" t="s">
        <v>609</v>
      </c>
      <c r="F168">
        <v>2000334</v>
      </c>
    </row>
    <row r="169" spans="1:6" x14ac:dyDescent="0.25">
      <c r="A169" s="10" t="s">
        <v>188</v>
      </c>
      <c r="B169" t="s">
        <v>76</v>
      </c>
      <c r="C169" t="s">
        <v>79</v>
      </c>
      <c r="D169" t="s">
        <v>78</v>
      </c>
      <c r="E169" t="s">
        <v>610</v>
      </c>
      <c r="F169">
        <v>2000335</v>
      </c>
    </row>
    <row r="170" spans="1:6" x14ac:dyDescent="0.25">
      <c r="A170" s="10" t="s">
        <v>381</v>
      </c>
      <c r="B170" t="s">
        <v>76</v>
      </c>
      <c r="C170" t="s">
        <v>79</v>
      </c>
      <c r="D170" t="s">
        <v>78</v>
      </c>
      <c r="E170" t="s">
        <v>611</v>
      </c>
      <c r="F170">
        <v>2000336</v>
      </c>
    </row>
    <row r="171" spans="1:6" x14ac:dyDescent="0.25">
      <c r="A171" s="10" t="s">
        <v>190</v>
      </c>
      <c r="B171" t="s">
        <v>76</v>
      </c>
      <c r="C171" t="s">
        <v>79</v>
      </c>
      <c r="D171" t="s">
        <v>78</v>
      </c>
      <c r="E171" t="s">
        <v>612</v>
      </c>
      <c r="F171">
        <v>2000337</v>
      </c>
    </row>
    <row r="172" spans="1:6" x14ac:dyDescent="0.25">
      <c r="A172" s="10" t="s">
        <v>191</v>
      </c>
      <c r="B172" t="s">
        <v>76</v>
      </c>
      <c r="C172" t="s">
        <v>79</v>
      </c>
      <c r="D172" t="s">
        <v>78</v>
      </c>
      <c r="E172" t="s">
        <v>613</v>
      </c>
      <c r="F172">
        <v>2000338</v>
      </c>
    </row>
    <row r="173" spans="1:6" x14ac:dyDescent="0.25">
      <c r="A173" s="10" t="s">
        <v>192</v>
      </c>
      <c r="B173" t="s">
        <v>76</v>
      </c>
      <c r="C173" t="s">
        <v>79</v>
      </c>
      <c r="D173" t="s">
        <v>78</v>
      </c>
      <c r="E173" t="s">
        <v>614</v>
      </c>
      <c r="F173">
        <v>2000339</v>
      </c>
    </row>
    <row r="174" spans="1:6" x14ac:dyDescent="0.25">
      <c r="A174" s="10" t="s">
        <v>193</v>
      </c>
      <c r="B174" t="s">
        <v>76</v>
      </c>
      <c r="C174" t="s">
        <v>79</v>
      </c>
      <c r="D174" t="s">
        <v>78</v>
      </c>
      <c r="E174" t="s">
        <v>615</v>
      </c>
      <c r="F174">
        <v>2000340</v>
      </c>
    </row>
    <row r="175" spans="1:6" x14ac:dyDescent="0.25">
      <c r="A175" s="10" t="s">
        <v>194</v>
      </c>
      <c r="B175" t="s">
        <v>76</v>
      </c>
      <c r="C175" t="s">
        <v>79</v>
      </c>
      <c r="D175" t="s">
        <v>78</v>
      </c>
      <c r="E175" t="s">
        <v>616</v>
      </c>
      <c r="F175">
        <v>2000341</v>
      </c>
    </row>
    <row r="176" spans="1:6" x14ac:dyDescent="0.25">
      <c r="A176" s="10" t="s">
        <v>195</v>
      </c>
      <c r="B176" t="s">
        <v>76</v>
      </c>
      <c r="C176" t="s">
        <v>79</v>
      </c>
      <c r="D176" t="s">
        <v>78</v>
      </c>
      <c r="E176" t="s">
        <v>617</v>
      </c>
      <c r="F176">
        <v>2000342</v>
      </c>
    </row>
    <row r="177" spans="1:6" x14ac:dyDescent="0.25">
      <c r="A177" s="10" t="s">
        <v>196</v>
      </c>
      <c r="B177" t="s">
        <v>76</v>
      </c>
      <c r="C177" t="s">
        <v>79</v>
      </c>
      <c r="D177" t="s">
        <v>78</v>
      </c>
      <c r="E177" t="s">
        <v>618</v>
      </c>
      <c r="F177">
        <v>2000343</v>
      </c>
    </row>
    <row r="178" spans="1:6" x14ac:dyDescent="0.25">
      <c r="A178" s="10" t="s">
        <v>197</v>
      </c>
      <c r="B178" t="s">
        <v>76</v>
      </c>
      <c r="C178" t="s">
        <v>79</v>
      </c>
      <c r="D178" t="s">
        <v>78</v>
      </c>
      <c r="E178" t="s">
        <v>619</v>
      </c>
      <c r="F178">
        <v>2000344</v>
      </c>
    </row>
    <row r="179" spans="1:6" x14ac:dyDescent="0.25">
      <c r="A179" s="10" t="s">
        <v>198</v>
      </c>
      <c r="B179" t="s">
        <v>76</v>
      </c>
      <c r="C179" t="s">
        <v>79</v>
      </c>
      <c r="D179" t="s">
        <v>78</v>
      </c>
      <c r="E179" t="s">
        <v>620</v>
      </c>
      <c r="F179">
        <v>2000345</v>
      </c>
    </row>
    <row r="180" spans="1:6" x14ac:dyDescent="0.25">
      <c r="A180" s="10" t="s">
        <v>199</v>
      </c>
      <c r="B180" t="s">
        <v>76</v>
      </c>
      <c r="C180" t="s">
        <v>79</v>
      </c>
      <c r="D180" t="s">
        <v>78</v>
      </c>
      <c r="E180" t="s">
        <v>621</v>
      </c>
      <c r="F180">
        <v>2000346</v>
      </c>
    </row>
    <row r="181" spans="1:6" x14ac:dyDescent="0.25">
      <c r="A181" s="10" t="s">
        <v>200</v>
      </c>
      <c r="B181" t="s">
        <v>76</v>
      </c>
      <c r="C181" t="s">
        <v>79</v>
      </c>
      <c r="D181" t="s">
        <v>78</v>
      </c>
      <c r="E181" t="s">
        <v>622</v>
      </c>
      <c r="F181">
        <v>2000347</v>
      </c>
    </row>
    <row r="182" spans="1:6" x14ac:dyDescent="0.25">
      <c r="A182" s="10" t="s">
        <v>201</v>
      </c>
      <c r="B182" t="s">
        <v>76</v>
      </c>
      <c r="C182" t="s">
        <v>79</v>
      </c>
      <c r="D182" t="s">
        <v>78</v>
      </c>
      <c r="E182" t="s">
        <v>623</v>
      </c>
      <c r="F182">
        <v>2000348</v>
      </c>
    </row>
    <row r="183" spans="1:6" x14ac:dyDescent="0.25">
      <c r="A183" s="10" t="s">
        <v>202</v>
      </c>
      <c r="B183" t="s">
        <v>76</v>
      </c>
      <c r="C183" t="s">
        <v>79</v>
      </c>
      <c r="D183" t="s">
        <v>78</v>
      </c>
      <c r="E183" t="s">
        <v>624</v>
      </c>
      <c r="F183">
        <v>2000349</v>
      </c>
    </row>
    <row r="184" spans="1:6" x14ac:dyDescent="0.25">
      <c r="A184" s="10" t="s">
        <v>203</v>
      </c>
      <c r="B184" t="s">
        <v>76</v>
      </c>
      <c r="C184" t="s">
        <v>79</v>
      </c>
      <c r="D184" t="s">
        <v>78</v>
      </c>
      <c r="E184" t="s">
        <v>625</v>
      </c>
      <c r="F184">
        <v>2000350</v>
      </c>
    </row>
    <row r="185" spans="1:6" x14ac:dyDescent="0.25">
      <c r="A185" s="10" t="s">
        <v>204</v>
      </c>
      <c r="B185" t="s">
        <v>76</v>
      </c>
      <c r="C185" t="s">
        <v>79</v>
      </c>
      <c r="D185" t="s">
        <v>78</v>
      </c>
      <c r="E185" t="s">
        <v>626</v>
      </c>
      <c r="F185">
        <v>2000351</v>
      </c>
    </row>
    <row r="186" spans="1:6" x14ac:dyDescent="0.25">
      <c r="A186" s="10" t="s">
        <v>205</v>
      </c>
      <c r="B186" t="s">
        <v>76</v>
      </c>
      <c r="C186" t="s">
        <v>79</v>
      </c>
      <c r="D186" t="s">
        <v>78</v>
      </c>
      <c r="E186" t="s">
        <v>627</v>
      </c>
      <c r="F186">
        <v>2000352</v>
      </c>
    </row>
    <row r="187" spans="1:6" x14ac:dyDescent="0.25">
      <c r="A187" s="10" t="s">
        <v>206</v>
      </c>
      <c r="B187" t="s">
        <v>76</v>
      </c>
      <c r="C187" t="s">
        <v>79</v>
      </c>
      <c r="D187" t="s">
        <v>78</v>
      </c>
      <c r="E187" t="s">
        <v>628</v>
      </c>
      <c r="F187">
        <v>2000353</v>
      </c>
    </row>
    <row r="188" spans="1:6" x14ac:dyDescent="0.25">
      <c r="A188" s="10" t="s">
        <v>207</v>
      </c>
      <c r="B188" t="s">
        <v>76</v>
      </c>
      <c r="C188" t="s">
        <v>79</v>
      </c>
      <c r="D188" t="s">
        <v>78</v>
      </c>
      <c r="E188" t="s">
        <v>629</v>
      </c>
      <c r="F188">
        <v>2000354</v>
      </c>
    </row>
    <row r="189" spans="1:6" x14ac:dyDescent="0.25">
      <c r="A189" s="10" t="s">
        <v>208</v>
      </c>
      <c r="B189" t="s">
        <v>76</v>
      </c>
      <c r="C189" t="s">
        <v>79</v>
      </c>
      <c r="D189" t="s">
        <v>78</v>
      </c>
      <c r="E189" t="s">
        <v>630</v>
      </c>
      <c r="F189">
        <v>2000355</v>
      </c>
    </row>
    <row r="190" spans="1:6" x14ac:dyDescent="0.25">
      <c r="A190" s="10" t="s">
        <v>209</v>
      </c>
      <c r="B190" t="s">
        <v>76</v>
      </c>
      <c r="C190" t="s">
        <v>79</v>
      </c>
      <c r="D190" t="s">
        <v>78</v>
      </c>
      <c r="E190" t="s">
        <v>631</v>
      </c>
      <c r="F190">
        <v>2000356</v>
      </c>
    </row>
    <row r="191" spans="1:6" x14ac:dyDescent="0.25">
      <c r="A191" s="10" t="s">
        <v>210</v>
      </c>
      <c r="B191" t="s">
        <v>76</v>
      </c>
      <c r="C191" t="s">
        <v>79</v>
      </c>
      <c r="D191" t="s">
        <v>78</v>
      </c>
      <c r="E191" t="s">
        <v>632</v>
      </c>
      <c r="F191">
        <v>2000357</v>
      </c>
    </row>
    <row r="192" spans="1:6" x14ac:dyDescent="0.25">
      <c r="A192" s="10" t="s">
        <v>211</v>
      </c>
      <c r="B192" t="s">
        <v>76</v>
      </c>
      <c r="C192" t="s">
        <v>79</v>
      </c>
      <c r="D192" t="s">
        <v>78</v>
      </c>
      <c r="E192" t="s">
        <v>633</v>
      </c>
      <c r="F192">
        <v>2000358</v>
      </c>
    </row>
    <row r="193" spans="1:6" x14ac:dyDescent="0.25">
      <c r="A193" s="10" t="s">
        <v>212</v>
      </c>
      <c r="B193" t="s">
        <v>76</v>
      </c>
      <c r="C193" t="s">
        <v>79</v>
      </c>
      <c r="D193" t="s">
        <v>78</v>
      </c>
      <c r="E193" t="s">
        <v>634</v>
      </c>
      <c r="F193">
        <v>2000359</v>
      </c>
    </row>
    <row r="194" spans="1:6" x14ac:dyDescent="0.25">
      <c r="A194" s="10" t="s">
        <v>213</v>
      </c>
      <c r="B194" t="s">
        <v>76</v>
      </c>
      <c r="C194" t="s">
        <v>79</v>
      </c>
      <c r="D194" t="s">
        <v>78</v>
      </c>
      <c r="E194" t="s">
        <v>635</v>
      </c>
      <c r="F194">
        <v>2000360</v>
      </c>
    </row>
    <row r="195" spans="1:6" x14ac:dyDescent="0.25">
      <c r="A195" s="10" t="s">
        <v>214</v>
      </c>
      <c r="B195" t="s">
        <v>76</v>
      </c>
      <c r="C195" t="s">
        <v>79</v>
      </c>
      <c r="D195" t="s">
        <v>78</v>
      </c>
      <c r="E195" t="s">
        <v>636</v>
      </c>
      <c r="F195">
        <v>2000361</v>
      </c>
    </row>
    <row r="196" spans="1:6" x14ac:dyDescent="0.25">
      <c r="A196" s="10" t="s">
        <v>215</v>
      </c>
      <c r="B196" t="s">
        <v>76</v>
      </c>
      <c r="C196" t="s">
        <v>79</v>
      </c>
      <c r="D196" t="s">
        <v>78</v>
      </c>
      <c r="E196" t="s">
        <v>637</v>
      </c>
      <c r="F196">
        <v>2000362</v>
      </c>
    </row>
    <row r="197" spans="1:6" x14ac:dyDescent="0.25">
      <c r="A197" s="10" t="s">
        <v>216</v>
      </c>
      <c r="B197" t="s">
        <v>76</v>
      </c>
      <c r="C197" t="s">
        <v>79</v>
      </c>
      <c r="D197" t="s">
        <v>78</v>
      </c>
      <c r="E197" t="s">
        <v>638</v>
      </c>
      <c r="F197">
        <v>2000363</v>
      </c>
    </row>
    <row r="198" spans="1:6" x14ac:dyDescent="0.25">
      <c r="A198" s="10" t="s">
        <v>217</v>
      </c>
      <c r="B198" t="s">
        <v>76</v>
      </c>
      <c r="C198" t="s">
        <v>79</v>
      </c>
      <c r="D198" t="s">
        <v>78</v>
      </c>
      <c r="E198" t="s">
        <v>639</v>
      </c>
      <c r="F198">
        <v>2000364</v>
      </c>
    </row>
    <row r="199" spans="1:6" x14ac:dyDescent="0.25">
      <c r="A199" s="10" t="s">
        <v>218</v>
      </c>
      <c r="B199" t="s">
        <v>76</v>
      </c>
      <c r="C199" t="s">
        <v>79</v>
      </c>
      <c r="D199" t="s">
        <v>78</v>
      </c>
      <c r="E199" t="s">
        <v>640</v>
      </c>
      <c r="F199">
        <v>2000365</v>
      </c>
    </row>
    <row r="200" spans="1:6" x14ac:dyDescent="0.25">
      <c r="A200" s="10" t="s">
        <v>219</v>
      </c>
      <c r="B200" t="s">
        <v>76</v>
      </c>
      <c r="C200" t="s">
        <v>79</v>
      </c>
      <c r="D200" t="s">
        <v>78</v>
      </c>
      <c r="E200" t="s">
        <v>641</v>
      </c>
      <c r="F200">
        <v>2000366</v>
      </c>
    </row>
    <row r="201" spans="1:6" x14ac:dyDescent="0.25">
      <c r="A201" s="10" t="s">
        <v>220</v>
      </c>
      <c r="B201" t="s">
        <v>76</v>
      </c>
      <c r="C201" t="s">
        <v>79</v>
      </c>
      <c r="D201" t="s">
        <v>78</v>
      </c>
      <c r="E201" t="s">
        <v>642</v>
      </c>
      <c r="F201">
        <v>2000367</v>
      </c>
    </row>
    <row r="202" spans="1:6" x14ac:dyDescent="0.25">
      <c r="A202" s="10" t="s">
        <v>221</v>
      </c>
      <c r="B202" t="s">
        <v>76</v>
      </c>
      <c r="C202" t="s">
        <v>79</v>
      </c>
      <c r="D202" t="s">
        <v>78</v>
      </c>
      <c r="E202" t="s">
        <v>643</v>
      </c>
      <c r="F202">
        <v>2000368</v>
      </c>
    </row>
    <row r="203" spans="1:6" x14ac:dyDescent="0.25">
      <c r="A203" s="10" t="s">
        <v>222</v>
      </c>
      <c r="B203" t="s">
        <v>76</v>
      </c>
      <c r="C203" t="s">
        <v>79</v>
      </c>
      <c r="D203" t="s">
        <v>78</v>
      </c>
      <c r="E203" t="s">
        <v>644</v>
      </c>
      <c r="F203">
        <v>2000369</v>
      </c>
    </row>
    <row r="204" spans="1:6" x14ac:dyDescent="0.25">
      <c r="A204" s="10" t="s">
        <v>223</v>
      </c>
      <c r="B204" t="s">
        <v>76</v>
      </c>
      <c r="C204" t="s">
        <v>79</v>
      </c>
      <c r="D204" t="s">
        <v>78</v>
      </c>
      <c r="E204" t="s">
        <v>645</v>
      </c>
      <c r="F204">
        <v>2000370</v>
      </c>
    </row>
    <row r="205" spans="1:6" x14ac:dyDescent="0.25">
      <c r="A205" s="10" t="s">
        <v>224</v>
      </c>
      <c r="B205" t="s">
        <v>76</v>
      </c>
      <c r="C205" t="s">
        <v>79</v>
      </c>
      <c r="D205" t="s">
        <v>78</v>
      </c>
      <c r="E205" t="s">
        <v>646</v>
      </c>
      <c r="F205">
        <v>2000371</v>
      </c>
    </row>
    <row r="206" spans="1:6" x14ac:dyDescent="0.25">
      <c r="A206" s="10" t="s">
        <v>225</v>
      </c>
      <c r="B206" t="s">
        <v>76</v>
      </c>
      <c r="C206" t="s">
        <v>79</v>
      </c>
      <c r="D206" t="s">
        <v>78</v>
      </c>
      <c r="E206" t="s">
        <v>647</v>
      </c>
      <c r="F206">
        <v>2000372</v>
      </c>
    </row>
    <row r="207" spans="1:6" x14ac:dyDescent="0.25">
      <c r="A207" s="10" t="s">
        <v>226</v>
      </c>
      <c r="B207" t="s">
        <v>76</v>
      </c>
      <c r="C207" t="s">
        <v>79</v>
      </c>
      <c r="D207" t="s">
        <v>78</v>
      </c>
      <c r="E207" t="s">
        <v>648</v>
      </c>
      <c r="F207">
        <v>2000373</v>
      </c>
    </row>
    <row r="208" spans="1:6" x14ac:dyDescent="0.25">
      <c r="A208" s="10" t="s">
        <v>239</v>
      </c>
      <c r="B208" t="s">
        <v>76</v>
      </c>
      <c r="C208" t="s">
        <v>79</v>
      </c>
      <c r="D208" t="s">
        <v>78</v>
      </c>
      <c r="E208" t="s">
        <v>649</v>
      </c>
      <c r="F208">
        <v>2000374</v>
      </c>
    </row>
    <row r="209" spans="1:6" x14ac:dyDescent="0.25">
      <c r="A209" s="10" t="s">
        <v>240</v>
      </c>
      <c r="B209" t="s">
        <v>76</v>
      </c>
      <c r="C209" t="s">
        <v>79</v>
      </c>
      <c r="D209" t="s">
        <v>78</v>
      </c>
      <c r="E209" t="s">
        <v>650</v>
      </c>
      <c r="F209">
        <v>2000375</v>
      </c>
    </row>
    <row r="210" spans="1:6" x14ac:dyDescent="0.25">
      <c r="A210" s="10" t="s">
        <v>241</v>
      </c>
      <c r="B210" t="s">
        <v>76</v>
      </c>
      <c r="C210" t="s">
        <v>79</v>
      </c>
      <c r="D210" t="s">
        <v>78</v>
      </c>
      <c r="E210" t="s">
        <v>651</v>
      </c>
      <c r="F210">
        <v>2000376</v>
      </c>
    </row>
    <row r="211" spans="1:6" x14ac:dyDescent="0.25">
      <c r="A211" s="10" t="s">
        <v>242</v>
      </c>
      <c r="B211" t="s">
        <v>76</v>
      </c>
      <c r="C211" t="s">
        <v>79</v>
      </c>
      <c r="D211" t="s">
        <v>78</v>
      </c>
      <c r="E211" t="s">
        <v>652</v>
      </c>
      <c r="F211">
        <v>2000377</v>
      </c>
    </row>
    <row r="212" spans="1:6" x14ac:dyDescent="0.25">
      <c r="A212" s="10" t="s">
        <v>243</v>
      </c>
      <c r="B212" t="s">
        <v>76</v>
      </c>
      <c r="C212" t="s">
        <v>79</v>
      </c>
      <c r="D212" t="s">
        <v>78</v>
      </c>
      <c r="E212" t="s">
        <v>653</v>
      </c>
      <c r="F212">
        <v>2000378</v>
      </c>
    </row>
    <row r="213" spans="1:6" x14ac:dyDescent="0.25">
      <c r="A213" s="10" t="s">
        <v>244</v>
      </c>
      <c r="B213" t="s">
        <v>76</v>
      </c>
      <c r="C213" t="s">
        <v>79</v>
      </c>
      <c r="D213" t="s">
        <v>78</v>
      </c>
      <c r="E213" t="s">
        <v>654</v>
      </c>
      <c r="F213">
        <v>2000379</v>
      </c>
    </row>
    <row r="214" spans="1:6" x14ac:dyDescent="0.25">
      <c r="A214" s="10" t="s">
        <v>245</v>
      </c>
      <c r="B214" t="s">
        <v>76</v>
      </c>
      <c r="C214" t="s">
        <v>79</v>
      </c>
      <c r="D214" t="s">
        <v>78</v>
      </c>
      <c r="E214" t="s">
        <v>655</v>
      </c>
      <c r="F214">
        <v>2000380</v>
      </c>
    </row>
    <row r="215" spans="1:6" x14ac:dyDescent="0.25">
      <c r="A215" s="10" t="s">
        <v>246</v>
      </c>
      <c r="B215" t="s">
        <v>76</v>
      </c>
      <c r="C215" t="s">
        <v>79</v>
      </c>
      <c r="D215" t="s">
        <v>78</v>
      </c>
      <c r="E215" t="s">
        <v>656</v>
      </c>
      <c r="F215">
        <v>2000381</v>
      </c>
    </row>
    <row r="216" spans="1:6" x14ac:dyDescent="0.25">
      <c r="A216" s="10" t="s">
        <v>247</v>
      </c>
      <c r="B216" t="s">
        <v>76</v>
      </c>
      <c r="C216" t="s">
        <v>79</v>
      </c>
      <c r="D216" t="s">
        <v>78</v>
      </c>
      <c r="E216" t="s">
        <v>657</v>
      </c>
      <c r="F216">
        <v>2000382</v>
      </c>
    </row>
    <row r="217" spans="1:6" x14ac:dyDescent="0.25">
      <c r="A217" s="10" t="s">
        <v>248</v>
      </c>
      <c r="B217" t="s">
        <v>76</v>
      </c>
      <c r="C217" t="s">
        <v>79</v>
      </c>
      <c r="D217" t="s">
        <v>78</v>
      </c>
      <c r="E217" t="s">
        <v>658</v>
      </c>
      <c r="F217">
        <v>2000383</v>
      </c>
    </row>
    <row r="218" spans="1:6" x14ac:dyDescent="0.25">
      <c r="A218" s="10" t="s">
        <v>249</v>
      </c>
      <c r="B218" t="s">
        <v>76</v>
      </c>
      <c r="C218" t="s">
        <v>79</v>
      </c>
      <c r="D218" t="s">
        <v>78</v>
      </c>
      <c r="E218" t="s">
        <v>659</v>
      </c>
      <c r="F218">
        <v>2000384</v>
      </c>
    </row>
    <row r="219" spans="1:6" x14ac:dyDescent="0.25">
      <c r="A219" s="10" t="s">
        <v>250</v>
      </c>
      <c r="B219" t="s">
        <v>76</v>
      </c>
      <c r="C219" t="s">
        <v>79</v>
      </c>
      <c r="D219" t="s">
        <v>78</v>
      </c>
      <c r="E219" t="s">
        <v>660</v>
      </c>
      <c r="F219">
        <v>2000385</v>
      </c>
    </row>
    <row r="220" spans="1:6" x14ac:dyDescent="0.25">
      <c r="A220" s="10" t="s">
        <v>251</v>
      </c>
      <c r="B220" t="s">
        <v>76</v>
      </c>
      <c r="C220" t="s">
        <v>79</v>
      </c>
      <c r="D220" t="s">
        <v>78</v>
      </c>
      <c r="E220" t="s">
        <v>661</v>
      </c>
      <c r="F220">
        <v>2000386</v>
      </c>
    </row>
    <row r="221" spans="1:6" x14ac:dyDescent="0.25">
      <c r="A221" s="10" t="s">
        <v>252</v>
      </c>
      <c r="B221" t="s">
        <v>76</v>
      </c>
      <c r="C221" t="s">
        <v>79</v>
      </c>
      <c r="D221" t="s">
        <v>78</v>
      </c>
      <c r="E221" t="s">
        <v>662</v>
      </c>
      <c r="F221">
        <v>2000387</v>
      </c>
    </row>
    <row r="222" spans="1:6" x14ac:dyDescent="0.25">
      <c r="A222" s="10" t="s">
        <v>253</v>
      </c>
      <c r="B222" t="s">
        <v>76</v>
      </c>
      <c r="C222" t="s">
        <v>79</v>
      </c>
      <c r="D222" t="s">
        <v>78</v>
      </c>
      <c r="E222" t="s">
        <v>663</v>
      </c>
      <c r="F222">
        <v>2000388</v>
      </c>
    </row>
    <row r="223" spans="1:6" x14ac:dyDescent="0.25">
      <c r="A223" s="10" t="s">
        <v>254</v>
      </c>
      <c r="B223" t="s">
        <v>76</v>
      </c>
      <c r="C223" t="s">
        <v>79</v>
      </c>
      <c r="D223" t="s">
        <v>78</v>
      </c>
      <c r="E223" t="s">
        <v>664</v>
      </c>
      <c r="F223">
        <v>2000389</v>
      </c>
    </row>
    <row r="224" spans="1:6" x14ac:dyDescent="0.25">
      <c r="A224" s="10" t="s">
        <v>255</v>
      </c>
      <c r="B224" t="s">
        <v>76</v>
      </c>
      <c r="C224" t="s">
        <v>79</v>
      </c>
      <c r="D224" t="s">
        <v>78</v>
      </c>
      <c r="E224" t="s">
        <v>665</v>
      </c>
      <c r="F224">
        <v>2000390</v>
      </c>
    </row>
    <row r="225" spans="1:6" x14ac:dyDescent="0.25">
      <c r="A225" s="10" t="s">
        <v>256</v>
      </c>
      <c r="B225" t="s">
        <v>76</v>
      </c>
      <c r="C225" t="s">
        <v>79</v>
      </c>
      <c r="D225" t="s">
        <v>78</v>
      </c>
      <c r="E225" t="s">
        <v>666</v>
      </c>
      <c r="F225">
        <v>2000391</v>
      </c>
    </row>
    <row r="226" spans="1:6" x14ac:dyDescent="0.25">
      <c r="A226" s="10" t="s">
        <v>257</v>
      </c>
      <c r="B226" t="s">
        <v>76</v>
      </c>
      <c r="C226" t="s">
        <v>79</v>
      </c>
      <c r="D226" t="s">
        <v>78</v>
      </c>
      <c r="E226" t="s">
        <v>667</v>
      </c>
      <c r="F226">
        <v>2000392</v>
      </c>
    </row>
    <row r="227" spans="1:6" x14ac:dyDescent="0.25">
      <c r="A227" s="10" t="s">
        <v>258</v>
      </c>
      <c r="B227" t="s">
        <v>76</v>
      </c>
      <c r="C227" t="s">
        <v>79</v>
      </c>
      <c r="D227" t="s">
        <v>78</v>
      </c>
      <c r="E227" t="s">
        <v>668</v>
      </c>
      <c r="F227">
        <v>2000393</v>
      </c>
    </row>
    <row r="228" spans="1:6" x14ac:dyDescent="0.25">
      <c r="A228" s="10" t="s">
        <v>227</v>
      </c>
      <c r="B228" t="s">
        <v>76</v>
      </c>
      <c r="C228" t="s">
        <v>79</v>
      </c>
      <c r="D228" t="s">
        <v>78</v>
      </c>
      <c r="E228" t="s">
        <v>669</v>
      </c>
      <c r="F228">
        <v>2000394</v>
      </c>
    </row>
    <row r="229" spans="1:6" x14ac:dyDescent="0.25">
      <c r="A229" s="10" t="s">
        <v>228</v>
      </c>
      <c r="B229" t="s">
        <v>76</v>
      </c>
      <c r="C229" t="s">
        <v>79</v>
      </c>
      <c r="D229" t="s">
        <v>78</v>
      </c>
      <c r="E229" t="s">
        <v>670</v>
      </c>
      <c r="F229">
        <v>2000395</v>
      </c>
    </row>
    <row r="230" spans="1:6" x14ac:dyDescent="0.25">
      <c r="A230" s="10" t="s">
        <v>229</v>
      </c>
      <c r="B230" t="s">
        <v>76</v>
      </c>
      <c r="C230" t="s">
        <v>79</v>
      </c>
      <c r="D230" t="s">
        <v>78</v>
      </c>
      <c r="E230" t="s">
        <v>671</v>
      </c>
      <c r="F230">
        <v>2000396</v>
      </c>
    </row>
    <row r="231" spans="1:6" x14ac:dyDescent="0.25">
      <c r="A231" s="10" t="s">
        <v>230</v>
      </c>
      <c r="B231" t="s">
        <v>76</v>
      </c>
      <c r="C231" t="s">
        <v>79</v>
      </c>
      <c r="D231" t="s">
        <v>78</v>
      </c>
      <c r="E231" t="s">
        <v>672</v>
      </c>
      <c r="F231">
        <v>2000397</v>
      </c>
    </row>
    <row r="232" spans="1:6" x14ac:dyDescent="0.25">
      <c r="A232" s="10" t="s">
        <v>231</v>
      </c>
      <c r="B232" t="s">
        <v>76</v>
      </c>
      <c r="C232" t="s">
        <v>79</v>
      </c>
      <c r="D232" t="s">
        <v>78</v>
      </c>
      <c r="E232" t="s">
        <v>673</v>
      </c>
      <c r="F232">
        <v>2000398</v>
      </c>
    </row>
    <row r="233" spans="1:6" x14ac:dyDescent="0.25">
      <c r="A233" s="10" t="s">
        <v>232</v>
      </c>
      <c r="B233" t="s">
        <v>76</v>
      </c>
      <c r="C233" t="s">
        <v>79</v>
      </c>
      <c r="D233" t="s">
        <v>78</v>
      </c>
      <c r="E233" t="s">
        <v>674</v>
      </c>
      <c r="F233">
        <v>2000399</v>
      </c>
    </row>
    <row r="234" spans="1:6" x14ac:dyDescent="0.25">
      <c r="A234" s="10" t="s">
        <v>233</v>
      </c>
      <c r="B234" t="s">
        <v>76</v>
      </c>
      <c r="C234" t="s">
        <v>79</v>
      </c>
      <c r="D234" t="s">
        <v>78</v>
      </c>
      <c r="E234" t="s">
        <v>675</v>
      </c>
      <c r="F234">
        <v>2000400</v>
      </c>
    </row>
    <row r="235" spans="1:6" x14ac:dyDescent="0.25">
      <c r="A235" s="10" t="s">
        <v>234</v>
      </c>
      <c r="B235" t="s">
        <v>76</v>
      </c>
      <c r="C235" t="s">
        <v>79</v>
      </c>
      <c r="D235" t="s">
        <v>78</v>
      </c>
      <c r="E235" t="s">
        <v>676</v>
      </c>
      <c r="F235">
        <v>2000401</v>
      </c>
    </row>
    <row r="236" spans="1:6" x14ac:dyDescent="0.25">
      <c r="A236" s="10" t="s">
        <v>235</v>
      </c>
      <c r="B236" t="s">
        <v>76</v>
      </c>
      <c r="C236" t="s">
        <v>79</v>
      </c>
      <c r="D236" t="s">
        <v>78</v>
      </c>
      <c r="E236" t="s">
        <v>677</v>
      </c>
      <c r="F236">
        <v>2000402</v>
      </c>
    </row>
    <row r="237" spans="1:6" x14ac:dyDescent="0.25">
      <c r="A237" s="10" t="s">
        <v>236</v>
      </c>
      <c r="B237" t="s">
        <v>76</v>
      </c>
      <c r="C237" t="s">
        <v>79</v>
      </c>
      <c r="D237" t="s">
        <v>78</v>
      </c>
      <c r="E237" t="s">
        <v>678</v>
      </c>
      <c r="F237">
        <v>2000403</v>
      </c>
    </row>
    <row r="238" spans="1:6" x14ac:dyDescent="0.25">
      <c r="A238" s="10" t="s">
        <v>237</v>
      </c>
      <c r="B238" t="s">
        <v>76</v>
      </c>
      <c r="C238" t="s">
        <v>79</v>
      </c>
      <c r="D238" t="s">
        <v>78</v>
      </c>
      <c r="E238" t="s">
        <v>679</v>
      </c>
      <c r="F238">
        <v>2000404</v>
      </c>
    </row>
    <row r="239" spans="1:6" x14ac:dyDescent="0.25">
      <c r="A239" s="10" t="s">
        <v>238</v>
      </c>
      <c r="B239" t="s">
        <v>76</v>
      </c>
      <c r="C239" t="s">
        <v>79</v>
      </c>
      <c r="D239" t="s">
        <v>78</v>
      </c>
      <c r="E239" t="s">
        <v>680</v>
      </c>
      <c r="F239">
        <v>2000405</v>
      </c>
    </row>
    <row r="240" spans="1:6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54"/>
    </row>
    <row r="255" spans="1:1" x14ac:dyDescent="0.25">
      <c r="A255" s="54"/>
    </row>
    <row r="256" spans="1:1" x14ac:dyDescent="0.25">
      <c r="A256" s="54"/>
    </row>
    <row r="257" spans="1:1" x14ac:dyDescent="0.25">
      <c r="A257" s="54"/>
    </row>
    <row r="258" spans="1:1" x14ac:dyDescent="0.25">
      <c r="A258" s="54"/>
    </row>
    <row r="259" spans="1:1" x14ac:dyDescent="0.25">
      <c r="A259" s="54"/>
    </row>
    <row r="260" spans="1:1" x14ac:dyDescent="0.25">
      <c r="A260" s="54"/>
    </row>
    <row r="261" spans="1:1" x14ac:dyDescent="0.25">
      <c r="A261" s="54"/>
    </row>
    <row r="262" spans="1:1" x14ac:dyDescent="0.25">
      <c r="A262" s="54"/>
    </row>
    <row r="263" spans="1:1" x14ac:dyDescent="0.25">
      <c r="A263" s="54"/>
    </row>
    <row r="264" spans="1:1" x14ac:dyDescent="0.25">
      <c r="A264" s="54"/>
    </row>
    <row r="265" spans="1:1" x14ac:dyDescent="0.25">
      <c r="A265" s="54"/>
    </row>
    <row r="266" spans="1:1" x14ac:dyDescent="0.25">
      <c r="A266" s="54"/>
    </row>
    <row r="267" spans="1:1" x14ac:dyDescent="0.25">
      <c r="A267" s="54"/>
    </row>
    <row r="268" spans="1:1" x14ac:dyDescent="0.25">
      <c r="A268" s="54"/>
    </row>
    <row r="269" spans="1:1" x14ac:dyDescent="0.25">
      <c r="A269" s="54"/>
    </row>
    <row r="270" spans="1:1" x14ac:dyDescent="0.25">
      <c r="A270" s="54"/>
    </row>
    <row r="271" spans="1:1" x14ac:dyDescent="0.25">
      <c r="A271" s="54"/>
    </row>
    <row r="272" spans="1:1" x14ac:dyDescent="0.25">
      <c r="A272" s="54"/>
    </row>
    <row r="273" spans="1:1" x14ac:dyDescent="0.25">
      <c r="A273" s="54"/>
    </row>
    <row r="274" spans="1:1" x14ac:dyDescent="0.25">
      <c r="A274" s="54"/>
    </row>
    <row r="275" spans="1:1" x14ac:dyDescent="0.25">
      <c r="A275" s="54"/>
    </row>
    <row r="276" spans="1:1" x14ac:dyDescent="0.25">
      <c r="A276" s="54"/>
    </row>
    <row r="277" spans="1:1" x14ac:dyDescent="0.25">
      <c r="A277" s="54"/>
    </row>
    <row r="278" spans="1:1" x14ac:dyDescent="0.25">
      <c r="A278" s="54"/>
    </row>
    <row r="279" spans="1:1" x14ac:dyDescent="0.25">
      <c r="A279" s="54"/>
    </row>
    <row r="280" spans="1:1" x14ac:dyDescent="0.25">
      <c r="A280" s="54"/>
    </row>
    <row r="281" spans="1:1" x14ac:dyDescent="0.25">
      <c r="A281" s="54"/>
    </row>
    <row r="282" spans="1:1" x14ac:dyDescent="0.25">
      <c r="A282" s="54"/>
    </row>
    <row r="283" spans="1:1" x14ac:dyDescent="0.25">
      <c r="A283" s="54"/>
    </row>
    <row r="284" spans="1:1" x14ac:dyDescent="0.25">
      <c r="A284" s="54"/>
    </row>
    <row r="285" spans="1:1" x14ac:dyDescent="0.25">
      <c r="A285" s="54"/>
    </row>
    <row r="286" spans="1:1" x14ac:dyDescent="0.25">
      <c r="A286" s="54"/>
    </row>
    <row r="287" spans="1:1" x14ac:dyDescent="0.25">
      <c r="A287" s="54"/>
    </row>
    <row r="288" spans="1:1" x14ac:dyDescent="0.25">
      <c r="A288" s="54"/>
    </row>
    <row r="289" spans="1:1" x14ac:dyDescent="0.25">
      <c r="A289" s="54"/>
    </row>
    <row r="290" spans="1:1" x14ac:dyDescent="0.25">
      <c r="A290" s="54"/>
    </row>
    <row r="291" spans="1:1" x14ac:dyDescent="0.25">
      <c r="A291" s="54"/>
    </row>
    <row r="292" spans="1:1" x14ac:dyDescent="0.25">
      <c r="A292" s="54"/>
    </row>
    <row r="293" spans="1:1" x14ac:dyDescent="0.25">
      <c r="A293" s="54"/>
    </row>
    <row r="294" spans="1:1" x14ac:dyDescent="0.25">
      <c r="A294" s="54"/>
    </row>
    <row r="295" spans="1:1" x14ac:dyDescent="0.25">
      <c r="A295" s="54"/>
    </row>
    <row r="296" spans="1:1" x14ac:dyDescent="0.25">
      <c r="A296" s="54"/>
    </row>
    <row r="297" spans="1:1" x14ac:dyDescent="0.25">
      <c r="A297" s="54"/>
    </row>
    <row r="298" spans="1:1" x14ac:dyDescent="0.25">
      <c r="A298" s="54"/>
    </row>
    <row r="299" spans="1:1" x14ac:dyDescent="0.25">
      <c r="A299" s="54"/>
    </row>
    <row r="300" spans="1:1" x14ac:dyDescent="0.25">
      <c r="A300" s="14"/>
    </row>
    <row r="301" spans="1:1" x14ac:dyDescent="0.25">
      <c r="A301" s="14"/>
    </row>
    <row r="302" spans="1:1" x14ac:dyDescent="0.25">
      <c r="A302" s="14"/>
    </row>
    <row r="303" spans="1:1" x14ac:dyDescent="0.25">
      <c r="A303" s="14"/>
    </row>
    <row r="304" spans="1:1" x14ac:dyDescent="0.25">
      <c r="A304" s="14"/>
    </row>
    <row r="305" spans="1:1" x14ac:dyDescent="0.25">
      <c r="A305" s="14"/>
    </row>
    <row r="306" spans="1:1" x14ac:dyDescent="0.25">
      <c r="A306" s="14"/>
    </row>
    <row r="307" spans="1:1" x14ac:dyDescent="0.25">
      <c r="A307" s="14"/>
    </row>
    <row r="308" spans="1:1" x14ac:dyDescent="0.25">
      <c r="A308" s="14"/>
    </row>
    <row r="309" spans="1:1" x14ac:dyDescent="0.25">
      <c r="A309" s="14"/>
    </row>
    <row r="310" spans="1:1" x14ac:dyDescent="0.25">
      <c r="A310" s="14"/>
    </row>
    <row r="311" spans="1:1" x14ac:dyDescent="0.25">
      <c r="A311" s="14"/>
    </row>
    <row r="312" spans="1:1" x14ac:dyDescent="0.25">
      <c r="A312" s="14"/>
    </row>
    <row r="313" spans="1:1" x14ac:dyDescent="0.25">
      <c r="A313" s="14"/>
    </row>
    <row r="314" spans="1:1" x14ac:dyDescent="0.25">
      <c r="A314" s="14"/>
    </row>
    <row r="315" spans="1:1" x14ac:dyDescent="0.25">
      <c r="A315" s="14"/>
    </row>
    <row r="316" spans="1:1" x14ac:dyDescent="0.25">
      <c r="A316" s="14"/>
    </row>
    <row r="317" spans="1:1" x14ac:dyDescent="0.25">
      <c r="A317" s="14"/>
    </row>
    <row r="318" spans="1:1" x14ac:dyDescent="0.25">
      <c r="A318" s="14"/>
    </row>
    <row r="319" spans="1:1" x14ac:dyDescent="0.25">
      <c r="A319" s="14"/>
    </row>
    <row r="320" spans="1:1" x14ac:dyDescent="0.25">
      <c r="A320" s="14"/>
    </row>
    <row r="321" spans="1:1" x14ac:dyDescent="0.25">
      <c r="A321" s="14"/>
    </row>
    <row r="322" spans="1:1" x14ac:dyDescent="0.25">
      <c r="A322" s="14"/>
    </row>
    <row r="323" spans="1:1" x14ac:dyDescent="0.25">
      <c r="A323" s="14"/>
    </row>
    <row r="324" spans="1:1" x14ac:dyDescent="0.25">
      <c r="A324" s="14"/>
    </row>
    <row r="325" spans="1:1" x14ac:dyDescent="0.25">
      <c r="A325" s="14"/>
    </row>
    <row r="326" spans="1:1" x14ac:dyDescent="0.25">
      <c r="A326" s="14"/>
    </row>
    <row r="327" spans="1:1" x14ac:dyDescent="0.25">
      <c r="A327" s="14"/>
    </row>
    <row r="328" spans="1:1" x14ac:dyDescent="0.25">
      <c r="A328" s="14"/>
    </row>
    <row r="329" spans="1:1" x14ac:dyDescent="0.25">
      <c r="A329" s="14"/>
    </row>
    <row r="330" spans="1:1" x14ac:dyDescent="0.25">
      <c r="A330" s="14"/>
    </row>
    <row r="331" spans="1:1" x14ac:dyDescent="0.25">
      <c r="A331" s="14"/>
    </row>
    <row r="332" spans="1:1" x14ac:dyDescent="0.25">
      <c r="A332" s="14"/>
    </row>
    <row r="333" spans="1:1" x14ac:dyDescent="0.25">
      <c r="A333" s="14"/>
    </row>
    <row r="334" spans="1:1" x14ac:dyDescent="0.25">
      <c r="A334" s="14"/>
    </row>
    <row r="335" spans="1:1" x14ac:dyDescent="0.25">
      <c r="A335" s="14"/>
    </row>
    <row r="336" spans="1:1" x14ac:dyDescent="0.25">
      <c r="A336" s="14"/>
    </row>
    <row r="337" spans="1:1" x14ac:dyDescent="0.25">
      <c r="A337" s="14"/>
    </row>
    <row r="338" spans="1:1" x14ac:dyDescent="0.25">
      <c r="A338" s="14"/>
    </row>
    <row r="339" spans="1:1" x14ac:dyDescent="0.25">
      <c r="A339" s="14"/>
    </row>
    <row r="340" spans="1:1" x14ac:dyDescent="0.25">
      <c r="A340" s="14"/>
    </row>
    <row r="341" spans="1:1" x14ac:dyDescent="0.25">
      <c r="A341" s="14"/>
    </row>
    <row r="342" spans="1:1" x14ac:dyDescent="0.25">
      <c r="A342" s="14"/>
    </row>
    <row r="343" spans="1:1" x14ac:dyDescent="0.25">
      <c r="A343" s="14"/>
    </row>
    <row r="344" spans="1:1" x14ac:dyDescent="0.25">
      <c r="A344" s="14"/>
    </row>
    <row r="345" spans="1:1" x14ac:dyDescent="0.25">
      <c r="A345" s="14"/>
    </row>
    <row r="346" spans="1:1" x14ac:dyDescent="0.25">
      <c r="A346" s="19"/>
    </row>
    <row r="347" spans="1:1" x14ac:dyDescent="0.25">
      <c r="A347" s="19"/>
    </row>
    <row r="348" spans="1:1" x14ac:dyDescent="0.25">
      <c r="A348" s="19"/>
    </row>
    <row r="349" spans="1:1" x14ac:dyDescent="0.25">
      <c r="A349" s="19"/>
    </row>
    <row r="350" spans="1:1" x14ac:dyDescent="0.25">
      <c r="A350" s="19"/>
    </row>
    <row r="351" spans="1:1" x14ac:dyDescent="0.25">
      <c r="A351" s="19"/>
    </row>
    <row r="352" spans="1:1" x14ac:dyDescent="0.25">
      <c r="A352" s="19"/>
    </row>
    <row r="353" spans="1:1" x14ac:dyDescent="0.25">
      <c r="A353" s="19"/>
    </row>
    <row r="354" spans="1:1" x14ac:dyDescent="0.25">
      <c r="A354" s="19"/>
    </row>
    <row r="355" spans="1:1" x14ac:dyDescent="0.25">
      <c r="A355" s="19"/>
    </row>
    <row r="356" spans="1:1" x14ac:dyDescent="0.25">
      <c r="A356" s="19"/>
    </row>
    <row r="357" spans="1:1" x14ac:dyDescent="0.25">
      <c r="A357" s="19"/>
    </row>
    <row r="358" spans="1:1" x14ac:dyDescent="0.25">
      <c r="A358" s="19"/>
    </row>
    <row r="359" spans="1:1" x14ac:dyDescent="0.25">
      <c r="A359" s="19"/>
    </row>
    <row r="360" spans="1:1" x14ac:dyDescent="0.25">
      <c r="A360" s="19"/>
    </row>
    <row r="361" spans="1:1" x14ac:dyDescent="0.25">
      <c r="A361" s="19"/>
    </row>
    <row r="362" spans="1:1" x14ac:dyDescent="0.25">
      <c r="A362" s="19"/>
    </row>
    <row r="363" spans="1:1" x14ac:dyDescent="0.25">
      <c r="A363" s="19"/>
    </row>
    <row r="364" spans="1:1" x14ac:dyDescent="0.25">
      <c r="A364" s="19"/>
    </row>
    <row r="365" spans="1:1" x14ac:dyDescent="0.25">
      <c r="A365" s="19"/>
    </row>
    <row r="366" spans="1:1" x14ac:dyDescent="0.25">
      <c r="A366" s="19"/>
    </row>
    <row r="367" spans="1:1" x14ac:dyDescent="0.25">
      <c r="A367" s="19"/>
    </row>
    <row r="368" spans="1:1" x14ac:dyDescent="0.25">
      <c r="A368" s="19"/>
    </row>
    <row r="369" spans="1:1" x14ac:dyDescent="0.25">
      <c r="A369" s="19"/>
    </row>
    <row r="370" spans="1:1" x14ac:dyDescent="0.25">
      <c r="A370" s="19"/>
    </row>
    <row r="371" spans="1:1" x14ac:dyDescent="0.25">
      <c r="A371" s="19"/>
    </row>
    <row r="372" spans="1:1" x14ac:dyDescent="0.25">
      <c r="A372" s="19"/>
    </row>
    <row r="373" spans="1:1" x14ac:dyDescent="0.25">
      <c r="A373" s="19"/>
    </row>
    <row r="374" spans="1:1" x14ac:dyDescent="0.25">
      <c r="A374" s="19"/>
    </row>
    <row r="375" spans="1:1" x14ac:dyDescent="0.25">
      <c r="A375" s="19"/>
    </row>
    <row r="376" spans="1:1" x14ac:dyDescent="0.25">
      <c r="A376" s="19"/>
    </row>
    <row r="377" spans="1:1" x14ac:dyDescent="0.25">
      <c r="A377" s="19"/>
    </row>
    <row r="378" spans="1:1" x14ac:dyDescent="0.25">
      <c r="A378" s="19"/>
    </row>
    <row r="379" spans="1:1" x14ac:dyDescent="0.25">
      <c r="A379" s="19"/>
    </row>
    <row r="380" spans="1:1" x14ac:dyDescent="0.25">
      <c r="A380" s="19"/>
    </row>
    <row r="381" spans="1:1" x14ac:dyDescent="0.25">
      <c r="A381" s="19"/>
    </row>
    <row r="382" spans="1:1" x14ac:dyDescent="0.25">
      <c r="A382" s="19"/>
    </row>
    <row r="383" spans="1:1" x14ac:dyDescent="0.25">
      <c r="A383" s="19"/>
    </row>
    <row r="384" spans="1:1" x14ac:dyDescent="0.25">
      <c r="A384" s="19"/>
    </row>
    <row r="385" spans="1:1" x14ac:dyDescent="0.25">
      <c r="A385" s="19"/>
    </row>
    <row r="386" spans="1:1" x14ac:dyDescent="0.25">
      <c r="A386" s="19"/>
    </row>
    <row r="387" spans="1:1" x14ac:dyDescent="0.25">
      <c r="A387" s="19"/>
    </row>
    <row r="388" spans="1:1" x14ac:dyDescent="0.25">
      <c r="A388" s="19"/>
    </row>
    <row r="389" spans="1:1" x14ac:dyDescent="0.25">
      <c r="A389" s="19"/>
    </row>
    <row r="390" spans="1:1" x14ac:dyDescent="0.25">
      <c r="A390" s="19"/>
    </row>
    <row r="391" spans="1:1" x14ac:dyDescent="0.25">
      <c r="A391" s="19"/>
    </row>
    <row r="392" spans="1:1" x14ac:dyDescent="0.25">
      <c r="A392" s="19"/>
    </row>
    <row r="393" spans="1:1" x14ac:dyDescent="0.25">
      <c r="A393" s="19"/>
    </row>
    <row r="394" spans="1:1" x14ac:dyDescent="0.25">
      <c r="A394" s="19"/>
    </row>
    <row r="395" spans="1:1" x14ac:dyDescent="0.25">
      <c r="A395" s="19"/>
    </row>
    <row r="396" spans="1:1" x14ac:dyDescent="0.25">
      <c r="A396" s="19"/>
    </row>
    <row r="397" spans="1:1" x14ac:dyDescent="0.25">
      <c r="A397" s="19"/>
    </row>
    <row r="398" spans="1:1" x14ac:dyDescent="0.25">
      <c r="A398" s="19"/>
    </row>
    <row r="399" spans="1:1" x14ac:dyDescent="0.25">
      <c r="A399" s="19"/>
    </row>
    <row r="400" spans="1:1" x14ac:dyDescent="0.25">
      <c r="A400" s="19"/>
    </row>
    <row r="401" spans="1:1" x14ac:dyDescent="0.25">
      <c r="A401" s="19"/>
    </row>
    <row r="402" spans="1:1" x14ac:dyDescent="0.25">
      <c r="A402" s="19"/>
    </row>
    <row r="403" spans="1:1" x14ac:dyDescent="0.25">
      <c r="A403" s="19"/>
    </row>
    <row r="404" spans="1:1" x14ac:dyDescent="0.25">
      <c r="A404" s="19"/>
    </row>
    <row r="405" spans="1:1" x14ac:dyDescent="0.25">
      <c r="A405" s="19"/>
    </row>
    <row r="406" spans="1:1" x14ac:dyDescent="0.25">
      <c r="A406" s="19"/>
    </row>
    <row r="407" spans="1:1" x14ac:dyDescent="0.25">
      <c r="A407" s="19"/>
    </row>
    <row r="408" spans="1:1" x14ac:dyDescent="0.25">
      <c r="A408" s="19"/>
    </row>
    <row r="409" spans="1:1" x14ac:dyDescent="0.25">
      <c r="A409" s="19"/>
    </row>
    <row r="410" spans="1:1" x14ac:dyDescent="0.25">
      <c r="A410" s="19"/>
    </row>
    <row r="411" spans="1:1" x14ac:dyDescent="0.25">
      <c r="A411" s="19"/>
    </row>
    <row r="412" spans="1:1" x14ac:dyDescent="0.25">
      <c r="A412" s="19"/>
    </row>
    <row r="413" spans="1:1" x14ac:dyDescent="0.25">
      <c r="A413" s="19"/>
    </row>
    <row r="414" spans="1:1" x14ac:dyDescent="0.25">
      <c r="A414" s="19"/>
    </row>
    <row r="415" spans="1:1" x14ac:dyDescent="0.25">
      <c r="A415" s="19"/>
    </row>
    <row r="416" spans="1:1" x14ac:dyDescent="0.25">
      <c r="A416" s="19"/>
    </row>
    <row r="417" spans="1:1" x14ac:dyDescent="0.25">
      <c r="A417" s="19"/>
    </row>
    <row r="418" spans="1:1" x14ac:dyDescent="0.25">
      <c r="A418" s="19"/>
    </row>
    <row r="419" spans="1:1" x14ac:dyDescent="0.25">
      <c r="A419" s="19"/>
    </row>
    <row r="420" spans="1:1" x14ac:dyDescent="0.25">
      <c r="A420" s="19"/>
    </row>
    <row r="421" spans="1:1" x14ac:dyDescent="0.25">
      <c r="A421" s="19"/>
    </row>
    <row r="422" spans="1:1" x14ac:dyDescent="0.25">
      <c r="A422" s="19"/>
    </row>
    <row r="423" spans="1:1" x14ac:dyDescent="0.25">
      <c r="A423" s="19"/>
    </row>
    <row r="424" spans="1:1" x14ac:dyDescent="0.25">
      <c r="A424" s="19"/>
    </row>
    <row r="425" spans="1:1" x14ac:dyDescent="0.25">
      <c r="A425" s="19"/>
    </row>
    <row r="426" spans="1:1" x14ac:dyDescent="0.25">
      <c r="A426" s="19"/>
    </row>
    <row r="427" spans="1:1" x14ac:dyDescent="0.25">
      <c r="A427" s="19"/>
    </row>
    <row r="428" spans="1:1" x14ac:dyDescent="0.25">
      <c r="A428" s="19"/>
    </row>
    <row r="429" spans="1:1" x14ac:dyDescent="0.25">
      <c r="A429" s="19"/>
    </row>
    <row r="430" spans="1:1" x14ac:dyDescent="0.25">
      <c r="A430" s="19"/>
    </row>
    <row r="431" spans="1:1" x14ac:dyDescent="0.25">
      <c r="A431" s="19"/>
    </row>
    <row r="432" spans="1:1" x14ac:dyDescent="0.25">
      <c r="A432" s="19"/>
    </row>
    <row r="433" spans="1:1" x14ac:dyDescent="0.25">
      <c r="A433" s="19"/>
    </row>
    <row r="434" spans="1:1" x14ac:dyDescent="0.25">
      <c r="A434" s="19"/>
    </row>
    <row r="435" spans="1:1" x14ac:dyDescent="0.25">
      <c r="A435" s="19"/>
    </row>
    <row r="436" spans="1:1" x14ac:dyDescent="0.25">
      <c r="A436" s="19"/>
    </row>
    <row r="437" spans="1:1" x14ac:dyDescent="0.25">
      <c r="A437" s="19"/>
    </row>
    <row r="438" spans="1:1" x14ac:dyDescent="0.25">
      <c r="A438" s="19"/>
    </row>
    <row r="439" spans="1:1" x14ac:dyDescent="0.25">
      <c r="A439" s="19"/>
    </row>
    <row r="440" spans="1:1" x14ac:dyDescent="0.25">
      <c r="A440" s="19"/>
    </row>
    <row r="441" spans="1:1" x14ac:dyDescent="0.25">
      <c r="A441" s="19"/>
    </row>
    <row r="442" spans="1:1" x14ac:dyDescent="0.25">
      <c r="A442" s="19"/>
    </row>
    <row r="443" spans="1:1" x14ac:dyDescent="0.25">
      <c r="A443" s="19"/>
    </row>
    <row r="444" spans="1:1" x14ac:dyDescent="0.25">
      <c r="A444" s="19"/>
    </row>
    <row r="445" spans="1:1" x14ac:dyDescent="0.25">
      <c r="A445" s="19"/>
    </row>
    <row r="446" spans="1:1" x14ac:dyDescent="0.25">
      <c r="A446" s="19"/>
    </row>
    <row r="447" spans="1:1" x14ac:dyDescent="0.25">
      <c r="A447" s="19"/>
    </row>
    <row r="448" spans="1:1" x14ac:dyDescent="0.25">
      <c r="A448" s="19"/>
    </row>
    <row r="449" spans="1:1" x14ac:dyDescent="0.25">
      <c r="A449" s="19"/>
    </row>
    <row r="450" spans="1:1" x14ac:dyDescent="0.25">
      <c r="A450" s="19"/>
    </row>
    <row r="451" spans="1:1" x14ac:dyDescent="0.25">
      <c r="A451" s="19"/>
    </row>
    <row r="452" spans="1:1" x14ac:dyDescent="0.25">
      <c r="A452" s="19"/>
    </row>
    <row r="453" spans="1:1" x14ac:dyDescent="0.25">
      <c r="A453" s="19"/>
    </row>
    <row r="454" spans="1:1" x14ac:dyDescent="0.25">
      <c r="A454" s="19"/>
    </row>
    <row r="455" spans="1:1" x14ac:dyDescent="0.25">
      <c r="A455" s="19"/>
    </row>
    <row r="456" spans="1:1" x14ac:dyDescent="0.25">
      <c r="A456" s="19"/>
    </row>
    <row r="457" spans="1:1" x14ac:dyDescent="0.25">
      <c r="A457" s="19"/>
    </row>
    <row r="458" spans="1:1" x14ac:dyDescent="0.25">
      <c r="A458" s="19"/>
    </row>
    <row r="459" spans="1:1" x14ac:dyDescent="0.25">
      <c r="A459" s="19"/>
    </row>
    <row r="460" spans="1:1" x14ac:dyDescent="0.25">
      <c r="A460" s="19"/>
    </row>
    <row r="461" spans="1:1" x14ac:dyDescent="0.25">
      <c r="A461" s="19"/>
    </row>
    <row r="462" spans="1:1" x14ac:dyDescent="0.25">
      <c r="A462" s="19"/>
    </row>
    <row r="463" spans="1:1" x14ac:dyDescent="0.25">
      <c r="A463" s="19"/>
    </row>
    <row r="464" spans="1:1" x14ac:dyDescent="0.25">
      <c r="A464" s="19"/>
    </row>
    <row r="465" spans="1:1" x14ac:dyDescent="0.25">
      <c r="A465" s="19"/>
    </row>
    <row r="466" spans="1:1" x14ac:dyDescent="0.25">
      <c r="A466" s="19"/>
    </row>
    <row r="467" spans="1:1" x14ac:dyDescent="0.25">
      <c r="A467" s="19"/>
    </row>
    <row r="468" spans="1:1" x14ac:dyDescent="0.25">
      <c r="A468" s="19"/>
    </row>
    <row r="469" spans="1:1" x14ac:dyDescent="0.25">
      <c r="A469" s="19"/>
    </row>
    <row r="470" spans="1:1" x14ac:dyDescent="0.25">
      <c r="A470" s="19"/>
    </row>
    <row r="471" spans="1:1" x14ac:dyDescent="0.25">
      <c r="A471" s="19"/>
    </row>
    <row r="472" spans="1:1" x14ac:dyDescent="0.25">
      <c r="A472" s="19"/>
    </row>
    <row r="473" spans="1:1" x14ac:dyDescent="0.25">
      <c r="A473" s="19"/>
    </row>
    <row r="474" spans="1:1" x14ac:dyDescent="0.25">
      <c r="A474" s="19"/>
    </row>
    <row r="475" spans="1:1" x14ac:dyDescent="0.25">
      <c r="A475" s="19"/>
    </row>
    <row r="476" spans="1:1" x14ac:dyDescent="0.25">
      <c r="A476" s="19"/>
    </row>
    <row r="477" spans="1:1" x14ac:dyDescent="0.25">
      <c r="A477" s="19"/>
    </row>
    <row r="478" spans="1:1" x14ac:dyDescent="0.25">
      <c r="A478" s="19"/>
    </row>
    <row r="479" spans="1:1" x14ac:dyDescent="0.25">
      <c r="A479" s="19"/>
    </row>
    <row r="480" spans="1:1" x14ac:dyDescent="0.25">
      <c r="A480" s="19"/>
    </row>
    <row r="481" spans="1:1" x14ac:dyDescent="0.25">
      <c r="A481" s="19"/>
    </row>
    <row r="482" spans="1:1" x14ac:dyDescent="0.25">
      <c r="A482" s="19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54"/>
    </row>
    <row r="599" spans="1:1" x14ac:dyDescent="0.25">
      <c r="A599" s="54"/>
    </row>
    <row r="600" spans="1:1" x14ac:dyDescent="0.25">
      <c r="A600" s="54"/>
    </row>
    <row r="601" spans="1:1" x14ac:dyDescent="0.25">
      <c r="A601" s="54"/>
    </row>
    <row r="602" spans="1:1" x14ac:dyDescent="0.25">
      <c r="A602" s="54"/>
    </row>
    <row r="603" spans="1:1" x14ac:dyDescent="0.25">
      <c r="A603" s="54"/>
    </row>
    <row r="604" spans="1:1" x14ac:dyDescent="0.25">
      <c r="A604" s="54"/>
    </row>
    <row r="605" spans="1:1" x14ac:dyDescent="0.25">
      <c r="A605" s="54"/>
    </row>
    <row r="606" spans="1:1" x14ac:dyDescent="0.25">
      <c r="A606" s="54"/>
    </row>
    <row r="607" spans="1:1" x14ac:dyDescent="0.25">
      <c r="A607" s="54"/>
    </row>
    <row r="608" spans="1:1" x14ac:dyDescent="0.25">
      <c r="A608" s="54"/>
    </row>
    <row r="609" spans="1:1" x14ac:dyDescent="0.25">
      <c r="A609" s="54"/>
    </row>
    <row r="610" spans="1:1" x14ac:dyDescent="0.25">
      <c r="A610" s="54"/>
    </row>
    <row r="611" spans="1:1" x14ac:dyDescent="0.25">
      <c r="A611" s="54"/>
    </row>
    <row r="612" spans="1:1" x14ac:dyDescent="0.25">
      <c r="A612" s="54"/>
    </row>
    <row r="613" spans="1:1" x14ac:dyDescent="0.25">
      <c r="A613" s="54"/>
    </row>
    <row r="614" spans="1:1" x14ac:dyDescent="0.25">
      <c r="A614" s="54"/>
    </row>
    <row r="615" spans="1:1" x14ac:dyDescent="0.25">
      <c r="A615" s="54"/>
    </row>
    <row r="616" spans="1:1" x14ac:dyDescent="0.25">
      <c r="A616" s="54"/>
    </row>
    <row r="617" spans="1:1" x14ac:dyDescent="0.25">
      <c r="A617" s="54"/>
    </row>
    <row r="618" spans="1:1" x14ac:dyDescent="0.25">
      <c r="A618" s="54"/>
    </row>
    <row r="619" spans="1:1" x14ac:dyDescent="0.25">
      <c r="A619" s="54"/>
    </row>
    <row r="620" spans="1:1" x14ac:dyDescent="0.25">
      <c r="A620" s="54"/>
    </row>
    <row r="621" spans="1:1" x14ac:dyDescent="0.25">
      <c r="A621" s="54"/>
    </row>
    <row r="622" spans="1:1" x14ac:dyDescent="0.25">
      <c r="A622" s="54"/>
    </row>
    <row r="623" spans="1:1" x14ac:dyDescent="0.25">
      <c r="A623" s="54"/>
    </row>
    <row r="624" spans="1:1" x14ac:dyDescent="0.25">
      <c r="A624" s="54"/>
    </row>
    <row r="625" spans="1:1" x14ac:dyDescent="0.25">
      <c r="A625" s="54"/>
    </row>
    <row r="626" spans="1:1" x14ac:dyDescent="0.25">
      <c r="A626" s="54"/>
    </row>
    <row r="627" spans="1:1" x14ac:dyDescent="0.25">
      <c r="A627" s="54"/>
    </row>
    <row r="628" spans="1:1" x14ac:dyDescent="0.25">
      <c r="A628" s="54"/>
    </row>
    <row r="629" spans="1:1" x14ac:dyDescent="0.25">
      <c r="A629" s="54"/>
    </row>
    <row r="630" spans="1:1" x14ac:dyDescent="0.25">
      <c r="A630" s="54"/>
    </row>
    <row r="631" spans="1:1" x14ac:dyDescent="0.25">
      <c r="A631" s="54"/>
    </row>
    <row r="632" spans="1:1" x14ac:dyDescent="0.25">
      <c r="A632" s="54"/>
    </row>
    <row r="633" spans="1:1" x14ac:dyDescent="0.25">
      <c r="A633" s="54"/>
    </row>
    <row r="634" spans="1:1" x14ac:dyDescent="0.25">
      <c r="A634" s="54"/>
    </row>
    <row r="635" spans="1:1" x14ac:dyDescent="0.25">
      <c r="A635" s="54"/>
    </row>
    <row r="636" spans="1:1" x14ac:dyDescent="0.25">
      <c r="A636" s="54"/>
    </row>
    <row r="637" spans="1:1" x14ac:dyDescent="0.25">
      <c r="A637" s="54"/>
    </row>
    <row r="638" spans="1:1" x14ac:dyDescent="0.25">
      <c r="A638" s="54"/>
    </row>
    <row r="639" spans="1:1" x14ac:dyDescent="0.25">
      <c r="A639" s="54"/>
    </row>
    <row r="640" spans="1:1" x14ac:dyDescent="0.25">
      <c r="A640" s="54"/>
    </row>
    <row r="641" spans="1:1" x14ac:dyDescent="0.25">
      <c r="A641" s="54"/>
    </row>
    <row r="642" spans="1:1" x14ac:dyDescent="0.25">
      <c r="A642" s="54"/>
    </row>
    <row r="643" spans="1:1" x14ac:dyDescent="0.25">
      <c r="A643" s="54"/>
    </row>
    <row r="644" spans="1:1" x14ac:dyDescent="0.25">
      <c r="A644" s="14"/>
    </row>
    <row r="645" spans="1:1" x14ac:dyDescent="0.25">
      <c r="A645" s="14"/>
    </row>
    <row r="646" spans="1:1" x14ac:dyDescent="0.25">
      <c r="A646" s="14"/>
    </row>
    <row r="647" spans="1:1" x14ac:dyDescent="0.25">
      <c r="A647" s="14"/>
    </row>
    <row r="648" spans="1:1" x14ac:dyDescent="0.25">
      <c r="A648" s="14"/>
    </row>
    <row r="649" spans="1:1" x14ac:dyDescent="0.25">
      <c r="A649" s="14"/>
    </row>
    <row r="650" spans="1:1" x14ac:dyDescent="0.25">
      <c r="A650" s="14"/>
    </row>
    <row r="651" spans="1:1" x14ac:dyDescent="0.25">
      <c r="A651" s="14"/>
    </row>
    <row r="652" spans="1:1" x14ac:dyDescent="0.25">
      <c r="A652" s="14"/>
    </row>
    <row r="653" spans="1:1" x14ac:dyDescent="0.25">
      <c r="A653" s="14"/>
    </row>
    <row r="654" spans="1:1" x14ac:dyDescent="0.25">
      <c r="A654" s="14"/>
    </row>
    <row r="655" spans="1:1" x14ac:dyDescent="0.25">
      <c r="A655" s="14"/>
    </row>
    <row r="656" spans="1:1" x14ac:dyDescent="0.25">
      <c r="A656" s="14"/>
    </row>
    <row r="657" spans="1:1" x14ac:dyDescent="0.25">
      <c r="A657" s="14"/>
    </row>
    <row r="658" spans="1:1" x14ac:dyDescent="0.25">
      <c r="A658" s="14"/>
    </row>
    <row r="659" spans="1:1" x14ac:dyDescent="0.25">
      <c r="A659" s="14"/>
    </row>
    <row r="660" spans="1:1" x14ac:dyDescent="0.25">
      <c r="A660" s="14"/>
    </row>
    <row r="661" spans="1:1" x14ac:dyDescent="0.25">
      <c r="A661" s="14"/>
    </row>
    <row r="662" spans="1:1" x14ac:dyDescent="0.25">
      <c r="A662" s="14"/>
    </row>
    <row r="663" spans="1:1" x14ac:dyDescent="0.25">
      <c r="A663" s="14"/>
    </row>
    <row r="664" spans="1:1" x14ac:dyDescent="0.25">
      <c r="A664" s="14"/>
    </row>
    <row r="665" spans="1:1" x14ac:dyDescent="0.25">
      <c r="A665" s="14"/>
    </row>
    <row r="666" spans="1:1" x14ac:dyDescent="0.25">
      <c r="A666" s="14"/>
    </row>
    <row r="667" spans="1:1" x14ac:dyDescent="0.25">
      <c r="A667" s="14"/>
    </row>
    <row r="668" spans="1:1" x14ac:dyDescent="0.25">
      <c r="A668" s="14"/>
    </row>
    <row r="669" spans="1:1" x14ac:dyDescent="0.25">
      <c r="A669" s="14"/>
    </row>
    <row r="670" spans="1:1" x14ac:dyDescent="0.25">
      <c r="A670" s="14"/>
    </row>
    <row r="671" spans="1:1" x14ac:dyDescent="0.25">
      <c r="A671" s="14"/>
    </row>
    <row r="672" spans="1:1" x14ac:dyDescent="0.25">
      <c r="A672" s="14"/>
    </row>
    <row r="673" spans="1:1" x14ac:dyDescent="0.25">
      <c r="A673" s="14"/>
    </row>
    <row r="674" spans="1:1" x14ac:dyDescent="0.25">
      <c r="A674" s="14"/>
    </row>
    <row r="675" spans="1:1" x14ac:dyDescent="0.25">
      <c r="A675" s="14"/>
    </row>
    <row r="676" spans="1:1" x14ac:dyDescent="0.25">
      <c r="A676" s="14"/>
    </row>
    <row r="677" spans="1:1" x14ac:dyDescent="0.25">
      <c r="A677" s="14"/>
    </row>
    <row r="678" spans="1:1" x14ac:dyDescent="0.25">
      <c r="A678" s="14"/>
    </row>
    <row r="679" spans="1:1" x14ac:dyDescent="0.25">
      <c r="A679" s="14"/>
    </row>
    <row r="680" spans="1:1" x14ac:dyDescent="0.25">
      <c r="A680" s="14"/>
    </row>
    <row r="681" spans="1:1" x14ac:dyDescent="0.25">
      <c r="A681" s="14"/>
    </row>
    <row r="682" spans="1:1" x14ac:dyDescent="0.25">
      <c r="A682" s="14"/>
    </row>
    <row r="683" spans="1:1" x14ac:dyDescent="0.25">
      <c r="A683" s="14"/>
    </row>
    <row r="684" spans="1:1" x14ac:dyDescent="0.25">
      <c r="A684" s="14"/>
    </row>
    <row r="685" spans="1:1" x14ac:dyDescent="0.25">
      <c r="A685" s="14"/>
    </row>
    <row r="686" spans="1:1" x14ac:dyDescent="0.25">
      <c r="A686" s="14"/>
    </row>
    <row r="687" spans="1:1" x14ac:dyDescent="0.25">
      <c r="A687" s="14"/>
    </row>
    <row r="688" spans="1:1" x14ac:dyDescent="0.25">
      <c r="A688" s="14"/>
    </row>
    <row r="689" spans="1:1" x14ac:dyDescent="0.25">
      <c r="A689" s="14"/>
    </row>
    <row r="690" spans="1:1" x14ac:dyDescent="0.25">
      <c r="A690" s="14"/>
    </row>
    <row r="691" spans="1:1" x14ac:dyDescent="0.25">
      <c r="A691" s="14"/>
    </row>
    <row r="692" spans="1:1" x14ac:dyDescent="0.25">
      <c r="A692" s="14"/>
    </row>
    <row r="693" spans="1:1" x14ac:dyDescent="0.25">
      <c r="A693" s="14"/>
    </row>
    <row r="694" spans="1:1" x14ac:dyDescent="0.25">
      <c r="A694" s="14"/>
    </row>
    <row r="695" spans="1:1" x14ac:dyDescent="0.25">
      <c r="A695" s="14"/>
    </row>
    <row r="696" spans="1:1" x14ac:dyDescent="0.25">
      <c r="A696" s="14"/>
    </row>
    <row r="697" spans="1:1" x14ac:dyDescent="0.25">
      <c r="A697" s="14"/>
    </row>
    <row r="698" spans="1:1" x14ac:dyDescent="0.25">
      <c r="A698" s="14"/>
    </row>
    <row r="699" spans="1:1" x14ac:dyDescent="0.25">
      <c r="A699" s="14"/>
    </row>
    <row r="700" spans="1:1" x14ac:dyDescent="0.25">
      <c r="A700" s="14"/>
    </row>
    <row r="701" spans="1:1" x14ac:dyDescent="0.25">
      <c r="A701" s="14"/>
    </row>
    <row r="702" spans="1:1" x14ac:dyDescent="0.25">
      <c r="A702" s="14"/>
    </row>
    <row r="703" spans="1:1" x14ac:dyDescent="0.25">
      <c r="A703" s="14"/>
    </row>
    <row r="704" spans="1:1" x14ac:dyDescent="0.25">
      <c r="A704" s="14"/>
    </row>
    <row r="705" spans="1:1" x14ac:dyDescent="0.25">
      <c r="A705" s="14"/>
    </row>
    <row r="706" spans="1:1" x14ac:dyDescent="0.25">
      <c r="A706" s="14"/>
    </row>
    <row r="707" spans="1:1" x14ac:dyDescent="0.25">
      <c r="A707" s="14"/>
    </row>
    <row r="708" spans="1:1" x14ac:dyDescent="0.25">
      <c r="A708" s="14"/>
    </row>
    <row r="709" spans="1:1" x14ac:dyDescent="0.25">
      <c r="A709" s="14"/>
    </row>
    <row r="710" spans="1:1" x14ac:dyDescent="0.25">
      <c r="A710" s="14"/>
    </row>
    <row r="711" spans="1:1" x14ac:dyDescent="0.25">
      <c r="A711" s="14"/>
    </row>
    <row r="712" spans="1:1" x14ac:dyDescent="0.25">
      <c r="A712" s="14"/>
    </row>
    <row r="713" spans="1:1" x14ac:dyDescent="0.25">
      <c r="A713" s="14"/>
    </row>
    <row r="714" spans="1:1" x14ac:dyDescent="0.25">
      <c r="A714" s="14"/>
    </row>
    <row r="715" spans="1:1" x14ac:dyDescent="0.25">
      <c r="A715" s="14"/>
    </row>
    <row r="716" spans="1:1" x14ac:dyDescent="0.25">
      <c r="A716" s="14"/>
    </row>
    <row r="717" spans="1:1" x14ac:dyDescent="0.25">
      <c r="A717" s="14"/>
    </row>
    <row r="718" spans="1:1" x14ac:dyDescent="0.25">
      <c r="A718" s="14"/>
    </row>
    <row r="719" spans="1:1" x14ac:dyDescent="0.25">
      <c r="A719" s="14"/>
    </row>
    <row r="720" spans="1:1" x14ac:dyDescent="0.25">
      <c r="A720" s="14"/>
    </row>
    <row r="721" spans="1:1" x14ac:dyDescent="0.25">
      <c r="A721" s="14"/>
    </row>
    <row r="722" spans="1:1" x14ac:dyDescent="0.25">
      <c r="A722" s="14"/>
    </row>
    <row r="723" spans="1:1" x14ac:dyDescent="0.25">
      <c r="A723" s="14"/>
    </row>
    <row r="724" spans="1:1" x14ac:dyDescent="0.25">
      <c r="A724" s="14"/>
    </row>
    <row r="725" spans="1:1" x14ac:dyDescent="0.25">
      <c r="A725" s="14"/>
    </row>
    <row r="726" spans="1:1" x14ac:dyDescent="0.25">
      <c r="A726" s="14"/>
    </row>
    <row r="727" spans="1:1" x14ac:dyDescent="0.25">
      <c r="A727" s="14"/>
    </row>
    <row r="728" spans="1:1" x14ac:dyDescent="0.25">
      <c r="A728" s="14"/>
    </row>
    <row r="729" spans="1:1" x14ac:dyDescent="0.25">
      <c r="A729" s="14"/>
    </row>
    <row r="730" spans="1:1" x14ac:dyDescent="0.25">
      <c r="A730" s="14"/>
    </row>
    <row r="731" spans="1:1" x14ac:dyDescent="0.25">
      <c r="A731" s="14"/>
    </row>
    <row r="732" spans="1:1" x14ac:dyDescent="0.25">
      <c r="A732" s="14"/>
    </row>
    <row r="733" spans="1:1" x14ac:dyDescent="0.25">
      <c r="A733" s="14"/>
    </row>
    <row r="734" spans="1:1" x14ac:dyDescent="0.25">
      <c r="A734" s="14"/>
    </row>
    <row r="735" spans="1:1" x14ac:dyDescent="0.25">
      <c r="A735" s="14"/>
    </row>
    <row r="736" spans="1:1" x14ac:dyDescent="0.25">
      <c r="A736" s="54"/>
    </row>
    <row r="737" spans="1:1" x14ac:dyDescent="0.25">
      <c r="A737" s="54"/>
    </row>
    <row r="738" spans="1:1" x14ac:dyDescent="0.25">
      <c r="A738" s="54"/>
    </row>
    <row r="739" spans="1:1" x14ac:dyDescent="0.25">
      <c r="A739" s="54"/>
    </row>
    <row r="740" spans="1:1" x14ac:dyDescent="0.25">
      <c r="A740" s="54"/>
    </row>
    <row r="741" spans="1:1" x14ac:dyDescent="0.25">
      <c r="A741" s="54"/>
    </row>
    <row r="742" spans="1:1" x14ac:dyDescent="0.25">
      <c r="A742" s="54"/>
    </row>
    <row r="743" spans="1:1" x14ac:dyDescent="0.25">
      <c r="A743" s="54"/>
    </row>
    <row r="744" spans="1:1" x14ac:dyDescent="0.25">
      <c r="A744" s="54"/>
    </row>
    <row r="745" spans="1:1" x14ac:dyDescent="0.25">
      <c r="A745" s="54"/>
    </row>
    <row r="746" spans="1:1" x14ac:dyDescent="0.25">
      <c r="A746" s="54"/>
    </row>
    <row r="747" spans="1:1" x14ac:dyDescent="0.25">
      <c r="A747" s="54"/>
    </row>
    <row r="748" spans="1:1" x14ac:dyDescent="0.25">
      <c r="A748" s="54"/>
    </row>
    <row r="749" spans="1:1" x14ac:dyDescent="0.25">
      <c r="A749" s="54"/>
    </row>
    <row r="750" spans="1:1" x14ac:dyDescent="0.25">
      <c r="A750" s="54"/>
    </row>
    <row r="751" spans="1:1" x14ac:dyDescent="0.25">
      <c r="A751" s="54"/>
    </row>
    <row r="752" spans="1:1" x14ac:dyDescent="0.25">
      <c r="A752" s="54"/>
    </row>
    <row r="753" spans="1:1" x14ac:dyDescent="0.25">
      <c r="A753" s="54"/>
    </row>
    <row r="754" spans="1:1" x14ac:dyDescent="0.25">
      <c r="A754" s="54"/>
    </row>
    <row r="755" spans="1:1" x14ac:dyDescent="0.25">
      <c r="A755" s="54"/>
    </row>
    <row r="756" spans="1:1" x14ac:dyDescent="0.25">
      <c r="A756" s="54"/>
    </row>
    <row r="757" spans="1:1" x14ac:dyDescent="0.25">
      <c r="A757" s="54"/>
    </row>
    <row r="758" spans="1:1" x14ac:dyDescent="0.25">
      <c r="A758" s="54"/>
    </row>
    <row r="759" spans="1:1" x14ac:dyDescent="0.25">
      <c r="A759" s="54"/>
    </row>
    <row r="760" spans="1:1" x14ac:dyDescent="0.25">
      <c r="A760" s="54"/>
    </row>
    <row r="761" spans="1:1" x14ac:dyDescent="0.25">
      <c r="A761" s="54"/>
    </row>
    <row r="762" spans="1:1" x14ac:dyDescent="0.25">
      <c r="A762" s="54"/>
    </row>
    <row r="763" spans="1:1" x14ac:dyDescent="0.25">
      <c r="A763" s="54"/>
    </row>
    <row r="764" spans="1:1" x14ac:dyDescent="0.25">
      <c r="A764" s="54"/>
    </row>
    <row r="765" spans="1:1" x14ac:dyDescent="0.25">
      <c r="A765" s="54"/>
    </row>
    <row r="766" spans="1:1" x14ac:dyDescent="0.25">
      <c r="A766" s="54"/>
    </row>
    <row r="767" spans="1:1" x14ac:dyDescent="0.25">
      <c r="A767" s="54"/>
    </row>
    <row r="768" spans="1:1" x14ac:dyDescent="0.25">
      <c r="A768" s="54"/>
    </row>
    <row r="769" spans="1:1" x14ac:dyDescent="0.25">
      <c r="A769" s="54"/>
    </row>
    <row r="770" spans="1:1" x14ac:dyDescent="0.25">
      <c r="A770" s="54"/>
    </row>
    <row r="771" spans="1:1" x14ac:dyDescent="0.25">
      <c r="A771" s="54"/>
    </row>
    <row r="772" spans="1:1" x14ac:dyDescent="0.25">
      <c r="A772" s="54"/>
    </row>
    <row r="773" spans="1:1" x14ac:dyDescent="0.25">
      <c r="A773" s="54"/>
    </row>
    <row r="774" spans="1:1" x14ac:dyDescent="0.25">
      <c r="A774" s="54"/>
    </row>
    <row r="775" spans="1:1" x14ac:dyDescent="0.25">
      <c r="A775" s="54"/>
    </row>
    <row r="776" spans="1:1" x14ac:dyDescent="0.25">
      <c r="A776" s="54"/>
    </row>
    <row r="777" spans="1:1" x14ac:dyDescent="0.25">
      <c r="A777" s="54"/>
    </row>
    <row r="778" spans="1:1" x14ac:dyDescent="0.25">
      <c r="A778" s="54"/>
    </row>
    <row r="779" spans="1:1" x14ac:dyDescent="0.25">
      <c r="A779" s="54"/>
    </row>
    <row r="780" spans="1:1" x14ac:dyDescent="0.25">
      <c r="A780" s="54"/>
    </row>
    <row r="781" spans="1:1" x14ac:dyDescent="0.25">
      <c r="A781" s="54"/>
    </row>
    <row r="782" spans="1:1" x14ac:dyDescent="0.25">
      <c r="A782" s="54"/>
    </row>
    <row r="783" spans="1:1" x14ac:dyDescent="0.25">
      <c r="A783" s="54"/>
    </row>
    <row r="784" spans="1:1" x14ac:dyDescent="0.25">
      <c r="A784" s="54"/>
    </row>
    <row r="785" spans="1:1" x14ac:dyDescent="0.25">
      <c r="A785" s="54"/>
    </row>
    <row r="786" spans="1:1" x14ac:dyDescent="0.25">
      <c r="A786" s="54"/>
    </row>
    <row r="787" spans="1:1" x14ac:dyDescent="0.25">
      <c r="A787" s="54"/>
    </row>
    <row r="788" spans="1:1" x14ac:dyDescent="0.25">
      <c r="A788" s="54"/>
    </row>
    <row r="789" spans="1:1" x14ac:dyDescent="0.25">
      <c r="A789" s="54"/>
    </row>
    <row r="790" spans="1:1" x14ac:dyDescent="0.25">
      <c r="A790" s="54"/>
    </row>
    <row r="791" spans="1:1" x14ac:dyDescent="0.25">
      <c r="A791" s="54"/>
    </row>
    <row r="792" spans="1:1" x14ac:dyDescent="0.25">
      <c r="A792" s="54"/>
    </row>
    <row r="793" spans="1:1" x14ac:dyDescent="0.25">
      <c r="A793" s="54"/>
    </row>
    <row r="794" spans="1:1" x14ac:dyDescent="0.25">
      <c r="A794" s="54"/>
    </row>
    <row r="795" spans="1:1" x14ac:dyDescent="0.25">
      <c r="A795" s="54"/>
    </row>
    <row r="796" spans="1:1" x14ac:dyDescent="0.25">
      <c r="A796" s="54"/>
    </row>
    <row r="797" spans="1:1" x14ac:dyDescent="0.25">
      <c r="A797" s="54"/>
    </row>
    <row r="798" spans="1:1" x14ac:dyDescent="0.25">
      <c r="A798" s="54"/>
    </row>
    <row r="799" spans="1:1" x14ac:dyDescent="0.25">
      <c r="A799" s="54"/>
    </row>
    <row r="800" spans="1:1" x14ac:dyDescent="0.25">
      <c r="A800" s="54"/>
    </row>
    <row r="801" spans="1:1" x14ac:dyDescent="0.25">
      <c r="A801" s="54"/>
    </row>
    <row r="802" spans="1:1" x14ac:dyDescent="0.25">
      <c r="A802" s="54"/>
    </row>
    <row r="803" spans="1:1" x14ac:dyDescent="0.25">
      <c r="A803" s="54"/>
    </row>
    <row r="804" spans="1:1" x14ac:dyDescent="0.25">
      <c r="A804" s="54"/>
    </row>
    <row r="805" spans="1:1" x14ac:dyDescent="0.25">
      <c r="A805" s="54"/>
    </row>
    <row r="806" spans="1:1" x14ac:dyDescent="0.25">
      <c r="A806" s="54"/>
    </row>
    <row r="807" spans="1:1" x14ac:dyDescent="0.25">
      <c r="A807" s="54"/>
    </row>
    <row r="808" spans="1:1" x14ac:dyDescent="0.25">
      <c r="A808" s="54"/>
    </row>
    <row r="809" spans="1:1" x14ac:dyDescent="0.25">
      <c r="A809" s="54"/>
    </row>
    <row r="810" spans="1:1" x14ac:dyDescent="0.25">
      <c r="A810" s="54"/>
    </row>
    <row r="811" spans="1:1" x14ac:dyDescent="0.25">
      <c r="A811" s="54"/>
    </row>
    <row r="812" spans="1:1" x14ac:dyDescent="0.25">
      <c r="A812" s="54"/>
    </row>
    <row r="813" spans="1:1" x14ac:dyDescent="0.25">
      <c r="A813" s="54"/>
    </row>
    <row r="814" spans="1:1" x14ac:dyDescent="0.25">
      <c r="A814" s="54"/>
    </row>
    <row r="815" spans="1:1" x14ac:dyDescent="0.25">
      <c r="A815" s="54"/>
    </row>
    <row r="816" spans="1:1" x14ac:dyDescent="0.25">
      <c r="A816" s="54"/>
    </row>
    <row r="817" spans="1:1" x14ac:dyDescent="0.25">
      <c r="A817" s="54"/>
    </row>
    <row r="818" spans="1:1" x14ac:dyDescent="0.25">
      <c r="A818" s="54"/>
    </row>
    <row r="819" spans="1:1" x14ac:dyDescent="0.25">
      <c r="A819" s="54"/>
    </row>
    <row r="820" spans="1:1" x14ac:dyDescent="0.25">
      <c r="A820" s="54"/>
    </row>
    <row r="821" spans="1:1" x14ac:dyDescent="0.25">
      <c r="A821" s="54"/>
    </row>
    <row r="822" spans="1:1" x14ac:dyDescent="0.25">
      <c r="A822" s="54"/>
    </row>
    <row r="823" spans="1:1" x14ac:dyDescent="0.25">
      <c r="A823" s="54"/>
    </row>
    <row r="824" spans="1:1" x14ac:dyDescent="0.25">
      <c r="A824" s="54"/>
    </row>
    <row r="825" spans="1:1" x14ac:dyDescent="0.25">
      <c r="A825" s="54"/>
    </row>
    <row r="826" spans="1:1" x14ac:dyDescent="0.25">
      <c r="A826" s="54"/>
    </row>
    <row r="827" spans="1:1" x14ac:dyDescent="0.25">
      <c r="A827" s="14"/>
    </row>
    <row r="828" spans="1:1" x14ac:dyDescent="0.25">
      <c r="A828" s="14"/>
    </row>
    <row r="829" spans="1:1" x14ac:dyDescent="0.25">
      <c r="A829" s="14"/>
    </row>
    <row r="830" spans="1:1" x14ac:dyDescent="0.25">
      <c r="A830" s="14"/>
    </row>
    <row r="831" spans="1:1" x14ac:dyDescent="0.25">
      <c r="A831" s="14"/>
    </row>
    <row r="832" spans="1:1" x14ac:dyDescent="0.25">
      <c r="A832" s="14"/>
    </row>
    <row r="833" spans="1:1" x14ac:dyDescent="0.25">
      <c r="A833" s="14"/>
    </row>
    <row r="834" spans="1:1" x14ac:dyDescent="0.25">
      <c r="A834" s="14"/>
    </row>
    <row r="835" spans="1:1" x14ac:dyDescent="0.25">
      <c r="A835" s="14"/>
    </row>
    <row r="836" spans="1:1" x14ac:dyDescent="0.25">
      <c r="A836" s="14"/>
    </row>
    <row r="837" spans="1:1" x14ac:dyDescent="0.25">
      <c r="A837" s="14"/>
    </row>
    <row r="838" spans="1:1" x14ac:dyDescent="0.25">
      <c r="A838" s="14"/>
    </row>
    <row r="839" spans="1:1" x14ac:dyDescent="0.25">
      <c r="A839" s="14"/>
    </row>
    <row r="840" spans="1:1" x14ac:dyDescent="0.25">
      <c r="A840" s="14"/>
    </row>
    <row r="841" spans="1:1" x14ac:dyDescent="0.25">
      <c r="A841" s="14"/>
    </row>
    <row r="842" spans="1:1" x14ac:dyDescent="0.25">
      <c r="A842" s="14"/>
    </row>
    <row r="843" spans="1:1" x14ac:dyDescent="0.25">
      <c r="A843" s="14"/>
    </row>
    <row r="844" spans="1:1" x14ac:dyDescent="0.25">
      <c r="A844" s="14"/>
    </row>
    <row r="845" spans="1:1" x14ac:dyDescent="0.25">
      <c r="A845" s="14"/>
    </row>
    <row r="846" spans="1:1" x14ac:dyDescent="0.25">
      <c r="A846" s="14"/>
    </row>
    <row r="847" spans="1:1" x14ac:dyDescent="0.25">
      <c r="A847" s="14"/>
    </row>
    <row r="848" spans="1:1" x14ac:dyDescent="0.25">
      <c r="A848" s="14"/>
    </row>
    <row r="849" spans="1:1" x14ac:dyDescent="0.25">
      <c r="A849" s="14"/>
    </row>
    <row r="850" spans="1:1" x14ac:dyDescent="0.25">
      <c r="A850" s="14"/>
    </row>
    <row r="851" spans="1:1" x14ac:dyDescent="0.25">
      <c r="A851" s="14"/>
    </row>
    <row r="852" spans="1:1" x14ac:dyDescent="0.25">
      <c r="A852" s="14"/>
    </row>
    <row r="853" spans="1:1" x14ac:dyDescent="0.25">
      <c r="A853" s="14"/>
    </row>
    <row r="854" spans="1:1" x14ac:dyDescent="0.25">
      <c r="A854" s="14"/>
    </row>
    <row r="855" spans="1:1" x14ac:dyDescent="0.25">
      <c r="A855" s="14"/>
    </row>
    <row r="856" spans="1:1" x14ac:dyDescent="0.25">
      <c r="A856" s="14"/>
    </row>
    <row r="857" spans="1:1" x14ac:dyDescent="0.25">
      <c r="A857" s="14"/>
    </row>
    <row r="858" spans="1:1" x14ac:dyDescent="0.25">
      <c r="A858" s="14"/>
    </row>
    <row r="859" spans="1:1" x14ac:dyDescent="0.25">
      <c r="A859" s="14"/>
    </row>
    <row r="860" spans="1:1" x14ac:dyDescent="0.25">
      <c r="A860" s="14"/>
    </row>
    <row r="861" spans="1:1" x14ac:dyDescent="0.25">
      <c r="A861" s="14"/>
    </row>
    <row r="862" spans="1:1" x14ac:dyDescent="0.25">
      <c r="A862" s="14"/>
    </row>
    <row r="863" spans="1:1" x14ac:dyDescent="0.25">
      <c r="A863" s="14"/>
    </row>
    <row r="864" spans="1:1" x14ac:dyDescent="0.25">
      <c r="A864" s="14"/>
    </row>
    <row r="865" spans="1:1" x14ac:dyDescent="0.25">
      <c r="A865" s="14"/>
    </row>
    <row r="866" spans="1:1" x14ac:dyDescent="0.25">
      <c r="A866" s="14"/>
    </row>
    <row r="867" spans="1:1" x14ac:dyDescent="0.25">
      <c r="A867" s="14"/>
    </row>
    <row r="868" spans="1:1" x14ac:dyDescent="0.25">
      <c r="A868" s="14"/>
    </row>
    <row r="869" spans="1:1" x14ac:dyDescent="0.25">
      <c r="A869" s="14"/>
    </row>
    <row r="870" spans="1:1" x14ac:dyDescent="0.25">
      <c r="A870" s="14"/>
    </row>
    <row r="871" spans="1:1" x14ac:dyDescent="0.25">
      <c r="A871" s="14"/>
    </row>
    <row r="872" spans="1:1" x14ac:dyDescent="0.25">
      <c r="A872" s="14"/>
    </row>
    <row r="873" spans="1:1" x14ac:dyDescent="0.25">
      <c r="A873" s="54"/>
    </row>
    <row r="874" spans="1:1" x14ac:dyDescent="0.25">
      <c r="A874" s="54"/>
    </row>
    <row r="875" spans="1:1" x14ac:dyDescent="0.25">
      <c r="A875" s="54"/>
    </row>
    <row r="876" spans="1:1" x14ac:dyDescent="0.25">
      <c r="A876" s="54"/>
    </row>
    <row r="877" spans="1:1" x14ac:dyDescent="0.25">
      <c r="A877" s="54"/>
    </row>
    <row r="878" spans="1:1" x14ac:dyDescent="0.25">
      <c r="A878" s="54"/>
    </row>
    <row r="879" spans="1:1" x14ac:dyDescent="0.25">
      <c r="A879" s="54"/>
    </row>
    <row r="880" spans="1:1" x14ac:dyDescent="0.25">
      <c r="A880" s="54"/>
    </row>
    <row r="881" spans="1:1" x14ac:dyDescent="0.25">
      <c r="A881" s="54"/>
    </row>
    <row r="882" spans="1:1" x14ac:dyDescent="0.25">
      <c r="A882" s="54"/>
    </row>
    <row r="883" spans="1:1" x14ac:dyDescent="0.25">
      <c r="A883" s="54"/>
    </row>
    <row r="884" spans="1:1" x14ac:dyDescent="0.25">
      <c r="A884" s="54"/>
    </row>
    <row r="885" spans="1:1" x14ac:dyDescent="0.25">
      <c r="A885" s="54"/>
    </row>
    <row r="886" spans="1:1" x14ac:dyDescent="0.25">
      <c r="A886" s="54"/>
    </row>
    <row r="887" spans="1:1" x14ac:dyDescent="0.25">
      <c r="A887" s="54"/>
    </row>
    <row r="888" spans="1:1" x14ac:dyDescent="0.25">
      <c r="A888" s="54"/>
    </row>
    <row r="889" spans="1:1" x14ac:dyDescent="0.25">
      <c r="A889" s="54"/>
    </row>
    <row r="890" spans="1:1" x14ac:dyDescent="0.25">
      <c r="A890" s="54"/>
    </row>
    <row r="891" spans="1:1" x14ac:dyDescent="0.25">
      <c r="A891" s="54"/>
    </row>
    <row r="892" spans="1:1" x14ac:dyDescent="0.25">
      <c r="A892" s="54"/>
    </row>
    <row r="893" spans="1:1" x14ac:dyDescent="0.25">
      <c r="A893" s="54"/>
    </row>
    <row r="894" spans="1:1" x14ac:dyDescent="0.25">
      <c r="A894" s="54"/>
    </row>
    <row r="895" spans="1:1" x14ac:dyDescent="0.25">
      <c r="A895" s="54"/>
    </row>
    <row r="896" spans="1:1" x14ac:dyDescent="0.25">
      <c r="A896" s="54"/>
    </row>
    <row r="897" spans="1:1" x14ac:dyDescent="0.25">
      <c r="A897" s="54"/>
    </row>
    <row r="898" spans="1:1" x14ac:dyDescent="0.25">
      <c r="A898" s="54"/>
    </row>
    <row r="899" spans="1:1" x14ac:dyDescent="0.25">
      <c r="A899" s="54"/>
    </row>
    <row r="900" spans="1:1" x14ac:dyDescent="0.25">
      <c r="A900" s="54"/>
    </row>
    <row r="901" spans="1:1" x14ac:dyDescent="0.25">
      <c r="A901" s="54"/>
    </row>
    <row r="902" spans="1:1" x14ac:dyDescent="0.25">
      <c r="A902" s="54"/>
    </row>
    <row r="903" spans="1:1" x14ac:dyDescent="0.25">
      <c r="A903" s="54"/>
    </row>
    <row r="904" spans="1:1" x14ac:dyDescent="0.25">
      <c r="A904" s="54"/>
    </row>
    <row r="905" spans="1:1" x14ac:dyDescent="0.25">
      <c r="A905" s="54"/>
    </row>
    <row r="906" spans="1:1" x14ac:dyDescent="0.25">
      <c r="A906" s="54"/>
    </row>
    <row r="907" spans="1:1" x14ac:dyDescent="0.25">
      <c r="A907" s="54"/>
    </row>
    <row r="908" spans="1:1" x14ac:dyDescent="0.25">
      <c r="A908" s="54"/>
    </row>
    <row r="909" spans="1:1" x14ac:dyDescent="0.25">
      <c r="A909" s="54"/>
    </row>
    <row r="910" spans="1:1" x14ac:dyDescent="0.25">
      <c r="A910" s="54"/>
    </row>
    <row r="911" spans="1:1" x14ac:dyDescent="0.25">
      <c r="A911" s="54"/>
    </row>
    <row r="912" spans="1:1" x14ac:dyDescent="0.25">
      <c r="A912" s="54"/>
    </row>
    <row r="913" spans="1:1" x14ac:dyDescent="0.25">
      <c r="A913" s="54"/>
    </row>
    <row r="914" spans="1:1" x14ac:dyDescent="0.25">
      <c r="A914" s="54"/>
    </row>
    <row r="915" spans="1:1" x14ac:dyDescent="0.25">
      <c r="A915" s="54"/>
    </row>
    <row r="916" spans="1:1" x14ac:dyDescent="0.25">
      <c r="A916" s="54"/>
    </row>
    <row r="917" spans="1:1" x14ac:dyDescent="0.25">
      <c r="A917" s="54"/>
    </row>
    <row r="918" spans="1:1" x14ac:dyDescent="0.25">
      <c r="A918" s="54"/>
    </row>
    <row r="919" spans="1:1" x14ac:dyDescent="0.25">
      <c r="A919" s="54"/>
    </row>
    <row r="920" spans="1:1" x14ac:dyDescent="0.25">
      <c r="A920" s="54"/>
    </row>
    <row r="921" spans="1:1" x14ac:dyDescent="0.25">
      <c r="A921" s="54"/>
    </row>
    <row r="922" spans="1:1" x14ac:dyDescent="0.25">
      <c r="A922" s="54"/>
    </row>
    <row r="923" spans="1:1" x14ac:dyDescent="0.25">
      <c r="A923" s="54"/>
    </row>
    <row r="924" spans="1:1" x14ac:dyDescent="0.25">
      <c r="A924" s="54"/>
    </row>
    <row r="925" spans="1:1" x14ac:dyDescent="0.25">
      <c r="A925" s="54"/>
    </row>
    <row r="926" spans="1:1" x14ac:dyDescent="0.25">
      <c r="A926" s="54"/>
    </row>
    <row r="927" spans="1:1" x14ac:dyDescent="0.25">
      <c r="A927" s="54"/>
    </row>
    <row r="928" spans="1:1" x14ac:dyDescent="0.25">
      <c r="A928" s="54"/>
    </row>
    <row r="929" spans="1:1" x14ac:dyDescent="0.25">
      <c r="A929" s="54"/>
    </row>
    <row r="930" spans="1:1" x14ac:dyDescent="0.25">
      <c r="A930" s="54"/>
    </row>
    <row r="931" spans="1:1" x14ac:dyDescent="0.25">
      <c r="A931" s="54"/>
    </row>
    <row r="932" spans="1:1" x14ac:dyDescent="0.25">
      <c r="A932" s="54"/>
    </row>
    <row r="933" spans="1:1" x14ac:dyDescent="0.25">
      <c r="A933" s="54"/>
    </row>
    <row r="934" spans="1:1" x14ac:dyDescent="0.25">
      <c r="A934" s="54"/>
    </row>
    <row r="935" spans="1:1" x14ac:dyDescent="0.25">
      <c r="A935" s="54"/>
    </row>
    <row r="936" spans="1:1" x14ac:dyDescent="0.25">
      <c r="A936" s="54"/>
    </row>
    <row r="937" spans="1:1" x14ac:dyDescent="0.25">
      <c r="A937" s="54"/>
    </row>
    <row r="938" spans="1:1" x14ac:dyDescent="0.25">
      <c r="A938" s="54"/>
    </row>
    <row r="939" spans="1:1" x14ac:dyDescent="0.25">
      <c r="A939" s="54"/>
    </row>
    <row r="940" spans="1:1" x14ac:dyDescent="0.25">
      <c r="A940" s="54"/>
    </row>
    <row r="941" spans="1:1" x14ac:dyDescent="0.25">
      <c r="A941" s="54"/>
    </row>
    <row r="942" spans="1:1" x14ac:dyDescent="0.25">
      <c r="A942" s="54"/>
    </row>
    <row r="943" spans="1:1" x14ac:dyDescent="0.25">
      <c r="A943" s="54"/>
    </row>
    <row r="944" spans="1:1" x14ac:dyDescent="0.25">
      <c r="A944" s="54"/>
    </row>
    <row r="945" spans="1:1" x14ac:dyDescent="0.25">
      <c r="A945" s="54"/>
    </row>
    <row r="946" spans="1:1" x14ac:dyDescent="0.25">
      <c r="A946" s="54"/>
    </row>
    <row r="947" spans="1:1" x14ac:dyDescent="0.25">
      <c r="A947" s="54"/>
    </row>
    <row r="948" spans="1:1" x14ac:dyDescent="0.25">
      <c r="A948" s="54"/>
    </row>
    <row r="949" spans="1:1" x14ac:dyDescent="0.25">
      <c r="A949" s="54"/>
    </row>
    <row r="950" spans="1:1" x14ac:dyDescent="0.25">
      <c r="A950" s="54"/>
    </row>
    <row r="951" spans="1:1" x14ac:dyDescent="0.25">
      <c r="A951" s="54"/>
    </row>
    <row r="952" spans="1:1" x14ac:dyDescent="0.25">
      <c r="A952" s="54"/>
    </row>
    <row r="953" spans="1:1" x14ac:dyDescent="0.25">
      <c r="A953" s="54"/>
    </row>
    <row r="954" spans="1:1" x14ac:dyDescent="0.25">
      <c r="A954" s="54"/>
    </row>
    <row r="955" spans="1:1" x14ac:dyDescent="0.25">
      <c r="A955" s="54"/>
    </row>
    <row r="956" spans="1:1" x14ac:dyDescent="0.25">
      <c r="A956" s="54"/>
    </row>
    <row r="957" spans="1:1" x14ac:dyDescent="0.25">
      <c r="A957" s="54"/>
    </row>
    <row r="958" spans="1:1" x14ac:dyDescent="0.25">
      <c r="A958" s="54"/>
    </row>
    <row r="959" spans="1:1" x14ac:dyDescent="0.25">
      <c r="A959" s="54"/>
    </row>
    <row r="960" spans="1:1" x14ac:dyDescent="0.25">
      <c r="A960" s="54"/>
    </row>
    <row r="961" spans="1:1" x14ac:dyDescent="0.25">
      <c r="A961" s="54"/>
    </row>
    <row r="962" spans="1:1" x14ac:dyDescent="0.25">
      <c r="A962" s="54"/>
    </row>
    <row r="963" spans="1:1" x14ac:dyDescent="0.25">
      <c r="A963" s="54"/>
    </row>
  </sheetData>
  <autoFilter ref="A1:F963" xr:uid="{00000000-0009-0000-0000-00000B000000}">
    <sortState xmlns:xlrd2="http://schemas.microsoft.com/office/spreadsheetml/2017/richdata2" ref="A346:F963">
      <sortCondition ref="A1:A963"/>
    </sortState>
  </autoFilter>
  <conditionalFormatting sqref="A2:A4">
    <cfRule type="duplicateValues" dxfId="7" priority="8"/>
  </conditionalFormatting>
  <conditionalFormatting sqref="A5:A68 A70:A75 A85:A92">
    <cfRule type="duplicateValues" dxfId="6" priority="6"/>
  </conditionalFormatting>
  <conditionalFormatting sqref="A5:A68 A70:A253">
    <cfRule type="duplicateValues" dxfId="5" priority="7"/>
  </conditionalFormatting>
  <conditionalFormatting sqref="A69">
    <cfRule type="duplicateValues" dxfId="4" priority="5"/>
  </conditionalFormatting>
  <conditionalFormatting sqref="A346:A348">
    <cfRule type="duplicateValues" dxfId="3" priority="4"/>
  </conditionalFormatting>
  <conditionalFormatting sqref="A349:A412 A414:A419 A429:A436">
    <cfRule type="duplicateValues" dxfId="2" priority="2"/>
  </conditionalFormatting>
  <conditionalFormatting sqref="A349:A412 A414:A597">
    <cfRule type="duplicateValues" dxfId="1" priority="3"/>
  </conditionalFormatting>
  <conditionalFormatting sqref="A413">
    <cfRule type="duplicateValues" dxfId="0" priority="1"/>
  </conditionalFormatting>
  <pageMargins left="0.7" right="0.7" top="0.75" bottom="0.75" header="0.3" footer="0.3"/>
  <pageSetup paperSize="9" orientation="portrait" horizontalDpi="4294967293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39997558519241921"/>
  </sheetPr>
  <dimension ref="A1:W1"/>
  <sheetViews>
    <sheetView topLeftCell="A32" zoomScaleNormal="100" workbookViewId="0">
      <selection activeCell="H59" sqref="A2:H59"/>
    </sheetView>
  </sheetViews>
  <sheetFormatPr defaultRowHeight="15" x14ac:dyDescent="0.25"/>
  <cols>
    <col min="1" max="1" width="25.85546875" customWidth="1"/>
    <col min="2" max="2" width="19" customWidth="1"/>
    <col min="3" max="3" width="19.85546875" customWidth="1"/>
    <col min="4" max="4" width="12.85546875" customWidth="1"/>
    <col min="5" max="5" width="48.85546875" customWidth="1"/>
    <col min="6" max="7" width="19" customWidth="1"/>
    <col min="8" max="23" width="11.5703125" customWidth="1"/>
  </cols>
  <sheetData>
    <row r="1" spans="1:23" x14ac:dyDescent="0.25">
      <c r="A1" t="s">
        <v>46</v>
      </c>
      <c r="B1" t="s">
        <v>80</v>
      </c>
      <c r="C1" t="s">
        <v>47</v>
      </c>
      <c r="D1" t="s">
        <v>81</v>
      </c>
      <c r="E1" t="s">
        <v>56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AC115"/>
  <sheetViews>
    <sheetView zoomScale="115" zoomScaleNormal="115" workbookViewId="0">
      <selection activeCell="A2" sqref="A2:H29"/>
    </sheetView>
  </sheetViews>
  <sheetFormatPr defaultRowHeight="15" x14ac:dyDescent="0.25"/>
  <cols>
    <col min="1" max="1" width="41" customWidth="1"/>
    <col min="2" max="2" width="22.5703125" customWidth="1"/>
    <col min="3" max="3" width="13.5703125" customWidth="1"/>
    <col min="4" max="4" width="12.5703125" bestFit="1" customWidth="1"/>
    <col min="5" max="5" width="22.7109375" customWidth="1"/>
    <col min="6" max="6" width="22.5703125" bestFit="1" customWidth="1"/>
    <col min="7" max="7" width="30.28515625" bestFit="1" customWidth="1"/>
    <col min="8" max="8" width="31.85546875" bestFit="1" customWidth="1"/>
    <col min="14" max="14" width="20.85546875" customWidth="1"/>
    <col min="16" max="25" width="16.42578125" customWidth="1"/>
    <col min="26" max="29" width="19.5703125" customWidth="1"/>
  </cols>
  <sheetData>
    <row r="1" spans="1:29" x14ac:dyDescent="0.25">
      <c r="A1" t="s">
        <v>46</v>
      </c>
      <c r="B1" t="s">
        <v>47</v>
      </c>
      <c r="C1" t="s">
        <v>100</v>
      </c>
      <c r="D1" t="s">
        <v>101</v>
      </c>
      <c r="E1" t="s">
        <v>55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90</v>
      </c>
      <c r="L1" t="s">
        <v>90</v>
      </c>
      <c r="M1" t="s">
        <v>91</v>
      </c>
      <c r="N1" t="s">
        <v>92</v>
      </c>
      <c r="O1" t="s">
        <v>93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110</v>
      </c>
      <c r="W1" t="s">
        <v>111</v>
      </c>
      <c r="X1" t="s">
        <v>112</v>
      </c>
      <c r="Y1" t="s">
        <v>113</v>
      </c>
      <c r="Z1" t="s">
        <v>73</v>
      </c>
      <c r="AA1" t="s">
        <v>102</v>
      </c>
      <c r="AB1" t="s">
        <v>103</v>
      </c>
      <c r="AC1" t="s">
        <v>104</v>
      </c>
    </row>
    <row r="2" spans="1:29" x14ac:dyDescent="0.25">
      <c r="F2" s="14"/>
      <c r="G2" s="14"/>
      <c r="H2" s="14"/>
      <c r="P2" t="s">
        <v>118</v>
      </c>
      <c r="Q2" t="s">
        <v>119</v>
      </c>
      <c r="R2" t="s">
        <v>120</v>
      </c>
      <c r="Z2" t="s">
        <v>115</v>
      </c>
      <c r="AA2" t="s">
        <v>116</v>
      </c>
      <c r="AB2">
        <v>0</v>
      </c>
      <c r="AC2" t="s">
        <v>117</v>
      </c>
    </row>
    <row r="3" spans="1:29" x14ac:dyDescent="0.25">
      <c r="F3" s="14"/>
      <c r="G3" s="14"/>
      <c r="H3" s="14"/>
    </row>
    <row r="4" spans="1:29" x14ac:dyDescent="0.25">
      <c r="F4" s="14"/>
    </row>
    <row r="5" spans="1:29" x14ac:dyDescent="0.25">
      <c r="F5" s="14"/>
    </row>
    <row r="6" spans="1:29" x14ac:dyDescent="0.25">
      <c r="F6" s="14"/>
    </row>
    <row r="7" spans="1:29" x14ac:dyDescent="0.25">
      <c r="F7" s="14"/>
    </row>
    <row r="8" spans="1:29" x14ac:dyDescent="0.25">
      <c r="F8" s="14"/>
      <c r="G8" s="14"/>
      <c r="H8" s="14"/>
    </row>
    <row r="9" spans="1:29" x14ac:dyDescent="0.25">
      <c r="F9" s="14"/>
      <c r="G9" s="14"/>
      <c r="H9" s="14"/>
    </row>
    <row r="10" spans="1:29" x14ac:dyDescent="0.25">
      <c r="F10" s="14"/>
    </row>
    <row r="11" spans="1:29" x14ac:dyDescent="0.25">
      <c r="F11" s="14"/>
    </row>
    <row r="12" spans="1:29" x14ac:dyDescent="0.25">
      <c r="F12" s="14"/>
    </row>
    <row r="13" spans="1:29" x14ac:dyDescent="0.25">
      <c r="F13" s="14"/>
    </row>
    <row r="14" spans="1:29" x14ac:dyDescent="0.25">
      <c r="F14" s="14"/>
      <c r="G14" s="14"/>
      <c r="H14" s="14"/>
    </row>
    <row r="15" spans="1:29" x14ac:dyDescent="0.25">
      <c r="F15" s="14"/>
      <c r="G15" s="14"/>
      <c r="H15" s="14"/>
    </row>
    <row r="16" spans="1:29" x14ac:dyDescent="0.25">
      <c r="F16" s="14"/>
    </row>
    <row r="17" spans="6:8" x14ac:dyDescent="0.25">
      <c r="F17" s="14"/>
    </row>
    <row r="18" spans="6:8" x14ac:dyDescent="0.25">
      <c r="F18" s="14"/>
    </row>
    <row r="19" spans="6:8" x14ac:dyDescent="0.25">
      <c r="F19" s="14"/>
    </row>
    <row r="20" spans="6:8" x14ac:dyDescent="0.25">
      <c r="F20" s="14"/>
      <c r="G20" s="14"/>
      <c r="H20" s="14"/>
    </row>
    <row r="21" spans="6:8" x14ac:dyDescent="0.25">
      <c r="F21" s="14"/>
      <c r="G21" s="14"/>
      <c r="H21" s="14"/>
    </row>
    <row r="22" spans="6:8" x14ac:dyDescent="0.25">
      <c r="F22" s="14"/>
    </row>
    <row r="23" spans="6:8" x14ac:dyDescent="0.25">
      <c r="F23" s="14"/>
    </row>
    <row r="24" spans="6:8" x14ac:dyDescent="0.25">
      <c r="F24" s="14"/>
    </row>
    <row r="25" spans="6:8" x14ac:dyDescent="0.25">
      <c r="F25" s="14"/>
    </row>
    <row r="26" spans="6:8" x14ac:dyDescent="0.25">
      <c r="F26" s="14"/>
      <c r="G26" s="14"/>
      <c r="H26" s="14"/>
    </row>
    <row r="27" spans="6:8" x14ac:dyDescent="0.25">
      <c r="F27" s="14"/>
      <c r="G27" s="14"/>
      <c r="H27" s="14"/>
    </row>
    <row r="28" spans="6:8" x14ac:dyDescent="0.25">
      <c r="F28" s="14"/>
    </row>
    <row r="29" spans="6:8" x14ac:dyDescent="0.25">
      <c r="F29" s="14"/>
    </row>
    <row r="30" spans="6:8" x14ac:dyDescent="0.25">
      <c r="F30" s="14"/>
    </row>
    <row r="31" spans="6:8" x14ac:dyDescent="0.25">
      <c r="F31" s="14"/>
    </row>
    <row r="32" spans="6:8" x14ac:dyDescent="0.25">
      <c r="F32" s="14"/>
      <c r="G32" s="14"/>
      <c r="H32" s="14"/>
    </row>
    <row r="33" spans="6:8" x14ac:dyDescent="0.25">
      <c r="F33" s="14"/>
      <c r="G33" s="14"/>
      <c r="H33" s="14"/>
    </row>
    <row r="34" spans="6:8" x14ac:dyDescent="0.25">
      <c r="F34" s="14"/>
    </row>
    <row r="35" spans="6:8" x14ac:dyDescent="0.25">
      <c r="F35" s="14"/>
    </row>
    <row r="36" spans="6:8" x14ac:dyDescent="0.25">
      <c r="F36" s="14"/>
    </row>
    <row r="37" spans="6:8" x14ac:dyDescent="0.25">
      <c r="F37" s="14"/>
    </row>
    <row r="38" spans="6:8" x14ac:dyDescent="0.25">
      <c r="F38" s="14"/>
      <c r="G38" s="14"/>
      <c r="H38" s="14"/>
    </row>
    <row r="39" spans="6:8" x14ac:dyDescent="0.25">
      <c r="F39" s="14"/>
      <c r="G39" s="14"/>
      <c r="H39" s="14"/>
    </row>
    <row r="40" spans="6:8" x14ac:dyDescent="0.25">
      <c r="F40" s="14"/>
    </row>
    <row r="41" spans="6:8" x14ac:dyDescent="0.25">
      <c r="F41" s="14"/>
    </row>
    <row r="42" spans="6:8" x14ac:dyDescent="0.25">
      <c r="F42" s="14"/>
    </row>
    <row r="43" spans="6:8" x14ac:dyDescent="0.25">
      <c r="F43" s="14"/>
    </row>
    <row r="44" spans="6:8" x14ac:dyDescent="0.25">
      <c r="F44" s="14"/>
      <c r="G44" s="14"/>
      <c r="H44" s="14"/>
    </row>
    <row r="45" spans="6:8" x14ac:dyDescent="0.25">
      <c r="F45" s="14"/>
      <c r="G45" s="14"/>
      <c r="H45" s="14"/>
    </row>
    <row r="46" spans="6:8" x14ac:dyDescent="0.25">
      <c r="F46" s="14"/>
    </row>
    <row r="47" spans="6:8" x14ac:dyDescent="0.25">
      <c r="F47" s="14"/>
    </row>
    <row r="48" spans="6:8" x14ac:dyDescent="0.25">
      <c r="F48" s="14"/>
    </row>
    <row r="49" spans="6:8" x14ac:dyDescent="0.25">
      <c r="F49" s="14"/>
    </row>
    <row r="50" spans="6:8" x14ac:dyDescent="0.25">
      <c r="F50" s="14"/>
      <c r="G50" s="14"/>
      <c r="H50" s="14"/>
    </row>
    <row r="51" spans="6:8" x14ac:dyDescent="0.25">
      <c r="F51" s="14"/>
      <c r="G51" s="14"/>
      <c r="H51" s="14"/>
    </row>
    <row r="52" spans="6:8" x14ac:dyDescent="0.25">
      <c r="F52" s="14"/>
    </row>
    <row r="53" spans="6:8" x14ac:dyDescent="0.25">
      <c r="F53" s="14"/>
    </row>
    <row r="54" spans="6:8" x14ac:dyDescent="0.25">
      <c r="F54" s="14"/>
    </row>
    <row r="55" spans="6:8" x14ac:dyDescent="0.25">
      <c r="F55" s="14"/>
    </row>
    <row r="56" spans="6:8" x14ac:dyDescent="0.25">
      <c r="F56" s="14"/>
      <c r="G56" s="14"/>
      <c r="H56" s="14"/>
    </row>
    <row r="57" spans="6:8" x14ac:dyDescent="0.25">
      <c r="F57" s="14"/>
      <c r="G57" s="14"/>
      <c r="H57" s="14"/>
    </row>
    <row r="58" spans="6:8" x14ac:dyDescent="0.25">
      <c r="F58" s="14"/>
    </row>
    <row r="59" spans="6:8" x14ac:dyDescent="0.25">
      <c r="F59" s="14"/>
    </row>
    <row r="60" spans="6:8" x14ac:dyDescent="0.25">
      <c r="F60" s="14"/>
    </row>
    <row r="61" spans="6:8" x14ac:dyDescent="0.25">
      <c r="F61" s="14"/>
    </row>
    <row r="62" spans="6:8" x14ac:dyDescent="0.25">
      <c r="F62" s="14"/>
      <c r="G62" s="14"/>
      <c r="H62" s="14"/>
    </row>
    <row r="63" spans="6:8" x14ac:dyDescent="0.25">
      <c r="F63" s="14"/>
      <c r="G63" s="14"/>
      <c r="H63" s="14"/>
    </row>
    <row r="64" spans="6:8" x14ac:dyDescent="0.25">
      <c r="F64" s="14"/>
    </row>
    <row r="65" spans="6:8" x14ac:dyDescent="0.25">
      <c r="F65" s="14"/>
    </row>
    <row r="66" spans="6:8" x14ac:dyDescent="0.25">
      <c r="F66" s="14"/>
    </row>
    <row r="67" spans="6:8" x14ac:dyDescent="0.25">
      <c r="F67" s="14"/>
    </row>
    <row r="68" spans="6:8" x14ac:dyDescent="0.25">
      <c r="F68" s="14"/>
      <c r="G68" s="14"/>
      <c r="H68" s="14"/>
    </row>
    <row r="69" spans="6:8" x14ac:dyDescent="0.25">
      <c r="F69" s="14"/>
      <c r="G69" s="14"/>
      <c r="H69" s="14"/>
    </row>
    <row r="70" spans="6:8" x14ac:dyDescent="0.25">
      <c r="F70" s="14"/>
    </row>
    <row r="71" spans="6:8" x14ac:dyDescent="0.25">
      <c r="F71" s="14"/>
    </row>
    <row r="72" spans="6:8" x14ac:dyDescent="0.25">
      <c r="F72" s="14"/>
    </row>
    <row r="73" spans="6:8" x14ac:dyDescent="0.25">
      <c r="F73" s="14"/>
    </row>
    <row r="74" spans="6:8" x14ac:dyDescent="0.25">
      <c r="F74" s="14"/>
      <c r="G74" s="14"/>
      <c r="H74" s="14"/>
    </row>
    <row r="75" spans="6:8" x14ac:dyDescent="0.25">
      <c r="F75" s="14"/>
      <c r="G75" s="14"/>
      <c r="H75" s="14"/>
    </row>
    <row r="76" spans="6:8" x14ac:dyDescent="0.25">
      <c r="F76" s="14"/>
    </row>
    <row r="77" spans="6:8" x14ac:dyDescent="0.25">
      <c r="F77" s="14"/>
    </row>
    <row r="78" spans="6:8" x14ac:dyDescent="0.25">
      <c r="F78" s="14"/>
    </row>
    <row r="79" spans="6:8" x14ac:dyDescent="0.25">
      <c r="F79" s="14"/>
    </row>
    <row r="80" spans="6:8" x14ac:dyDescent="0.25">
      <c r="F80" s="14"/>
      <c r="G80" s="14"/>
      <c r="H80" s="14"/>
    </row>
    <row r="81" spans="6:8" x14ac:dyDescent="0.25">
      <c r="F81" s="14"/>
      <c r="G81" s="14"/>
      <c r="H81" s="14"/>
    </row>
    <row r="82" spans="6:8" x14ac:dyDescent="0.25">
      <c r="F82" s="14"/>
    </row>
    <row r="83" spans="6:8" x14ac:dyDescent="0.25">
      <c r="F83" s="14"/>
    </row>
    <row r="84" spans="6:8" x14ac:dyDescent="0.25">
      <c r="F84" s="14"/>
    </row>
    <row r="85" spans="6:8" x14ac:dyDescent="0.25">
      <c r="F85" s="14"/>
    </row>
    <row r="86" spans="6:8" x14ac:dyDescent="0.25">
      <c r="F86" s="14"/>
      <c r="G86" s="14"/>
      <c r="H86" s="14"/>
    </row>
    <row r="87" spans="6:8" x14ac:dyDescent="0.25">
      <c r="F87" s="14"/>
      <c r="G87" s="14"/>
      <c r="H87" s="14"/>
    </row>
    <row r="88" spans="6:8" x14ac:dyDescent="0.25">
      <c r="F88" s="14"/>
    </row>
    <row r="89" spans="6:8" x14ac:dyDescent="0.25">
      <c r="F89" s="14"/>
    </row>
    <row r="90" spans="6:8" x14ac:dyDescent="0.25">
      <c r="F90" s="14"/>
    </row>
    <row r="91" spans="6:8" x14ac:dyDescent="0.25">
      <c r="F91" s="14"/>
    </row>
    <row r="92" spans="6:8" x14ac:dyDescent="0.25">
      <c r="F92" s="14"/>
      <c r="G92" s="14"/>
      <c r="H92" s="14"/>
    </row>
    <row r="93" spans="6:8" x14ac:dyDescent="0.25">
      <c r="F93" s="14"/>
      <c r="G93" s="14"/>
      <c r="H93" s="14"/>
    </row>
    <row r="94" spans="6:8" x14ac:dyDescent="0.25">
      <c r="F94" s="14"/>
    </row>
    <row r="95" spans="6:8" x14ac:dyDescent="0.25">
      <c r="F95" s="14"/>
    </row>
    <row r="96" spans="6:8" x14ac:dyDescent="0.25">
      <c r="F96" s="14"/>
    </row>
    <row r="97" spans="6:8" x14ac:dyDescent="0.25">
      <c r="F97" s="14"/>
    </row>
    <row r="98" spans="6:8" x14ac:dyDescent="0.25">
      <c r="F98" s="14"/>
      <c r="G98" s="14"/>
      <c r="H98" s="14"/>
    </row>
    <row r="99" spans="6:8" x14ac:dyDescent="0.25">
      <c r="F99" s="14"/>
      <c r="G99" s="14"/>
      <c r="H99" s="14"/>
    </row>
    <row r="100" spans="6:8" x14ac:dyDescent="0.25">
      <c r="F100" s="14"/>
    </row>
    <row r="101" spans="6:8" x14ac:dyDescent="0.25">
      <c r="F101" s="14"/>
    </row>
    <row r="102" spans="6:8" x14ac:dyDescent="0.25">
      <c r="F102" s="14"/>
    </row>
    <row r="103" spans="6:8" x14ac:dyDescent="0.25">
      <c r="F103" s="14"/>
    </row>
    <row r="104" spans="6:8" x14ac:dyDescent="0.25">
      <c r="F104" s="14"/>
      <c r="G104" s="14"/>
      <c r="H104" s="14"/>
    </row>
    <row r="105" spans="6:8" x14ac:dyDescent="0.25">
      <c r="F105" s="14"/>
      <c r="G105" s="14"/>
      <c r="H105" s="14"/>
    </row>
    <row r="106" spans="6:8" x14ac:dyDescent="0.25">
      <c r="F106" s="14"/>
    </row>
    <row r="107" spans="6:8" x14ac:dyDescent="0.25">
      <c r="F107" s="14"/>
    </row>
    <row r="108" spans="6:8" x14ac:dyDescent="0.25">
      <c r="F108" s="14"/>
    </row>
    <row r="109" spans="6:8" x14ac:dyDescent="0.25">
      <c r="F109" s="14"/>
    </row>
    <row r="110" spans="6:8" x14ac:dyDescent="0.25">
      <c r="F110" s="14"/>
      <c r="G110" s="14"/>
      <c r="H110" s="14"/>
    </row>
    <row r="111" spans="6:8" x14ac:dyDescent="0.25">
      <c r="F111" s="14"/>
      <c r="G111" s="14"/>
      <c r="H111" s="14"/>
    </row>
    <row r="112" spans="6:8" x14ac:dyDescent="0.25">
      <c r="F112" s="14"/>
    </row>
    <row r="113" spans="6:6" x14ac:dyDescent="0.25">
      <c r="F113" s="14"/>
    </row>
    <row r="114" spans="6:6" x14ac:dyDescent="0.25">
      <c r="F114" s="14"/>
    </row>
    <row r="115" spans="6:6" x14ac:dyDescent="0.25">
      <c r="F11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SiteInfo</vt:lpstr>
      <vt:lpstr>Floor meters</vt:lpstr>
      <vt:lpstr>ModbusDevices</vt:lpstr>
      <vt:lpstr>Meters</vt:lpstr>
      <vt:lpstr>CustomMeterPoints</vt:lpstr>
      <vt:lpstr>Spaces</vt:lpstr>
      <vt:lpstr>Reports</vt:lpstr>
      <vt:lpstr>UpdateModbusDevices</vt:lpstr>
      <vt:lpstr>UpdateMeters</vt:lpstr>
      <vt:lpstr>ModbusDevices_BCK</vt:lpstr>
      <vt:lpstr>Meters_BCK</vt:lpstr>
      <vt:lpstr>CustomMeterPoints_BCK</vt:lpstr>
      <vt:lpstr>Spaces_BCK</vt:lpstr>
      <vt:lpstr>ReportsBCK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h</dc:creator>
  <cp:lastModifiedBy>akos horogh</cp:lastModifiedBy>
  <dcterms:created xsi:type="dcterms:W3CDTF">2025-09-20T22:11:09Z</dcterms:created>
  <dcterms:modified xsi:type="dcterms:W3CDTF">2026-10-18T10:00:43Z</dcterms:modified>
</cp:coreProperties>
</file>